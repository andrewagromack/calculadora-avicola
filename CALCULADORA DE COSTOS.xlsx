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0482afcc70cf02c/APM AGRO/AGROMACK/LIBRO AVICULTURA/KIT AVÍCOLA PARA SUBIR/"/>
    </mc:Choice>
  </mc:AlternateContent>
  <xr:revisionPtr revIDLastSave="0" documentId="8_{D24A4BFF-0D4A-496E-8B2E-3BC40A2BC9F8}" xr6:coauthVersionLast="47" xr6:coauthVersionMax="47" xr10:uidLastSave="{00000000-0000-0000-0000-000000000000}"/>
  <bookViews>
    <workbookView xWindow="-110" yWindow="-110" windowWidth="25820" windowHeight="15500" tabRatio="754" activeTab="5" xr2:uid="{00000000-000D-0000-FFFF-FFFF00000000}"/>
  </bookViews>
  <sheets>
    <sheet name="Guía de Uso" sheetId="5" r:id="rId1"/>
    <sheet name="Dashboard" sheetId="6" r:id="rId2"/>
    <sheet name="Postura" sheetId="2" r:id="rId3"/>
    <sheet name="Cría y Venta" sheetId="3" r:id="rId4"/>
    <sheet name="Ciclo Completo" sheetId="4" r:id="rId5"/>
    <sheet name="Datos Técnicos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8" i="4" l="1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C44" i="4"/>
  <c r="E44" i="4" s="1"/>
  <c r="G44" i="4" s="1"/>
  <c r="H44" i="4" s="1"/>
  <c r="C43" i="4"/>
  <c r="E43" i="4" s="1"/>
  <c r="G43" i="4" s="1"/>
  <c r="H43" i="4" s="1"/>
  <c r="C42" i="4"/>
  <c r="E42" i="4" s="1"/>
  <c r="G42" i="4" s="1"/>
  <c r="H42" i="4" s="1"/>
  <c r="C41" i="4"/>
  <c r="E41" i="4" s="1"/>
  <c r="G41" i="4" s="1"/>
  <c r="H41" i="4" s="1"/>
  <c r="B30" i="4"/>
  <c r="B26" i="4"/>
  <c r="B27" i="4" s="1"/>
  <c r="B25" i="4"/>
  <c r="B34" i="4" s="1"/>
  <c r="B24" i="4"/>
  <c r="B33" i="4" s="1"/>
  <c r="B23" i="4"/>
  <c r="B32" i="4" s="1"/>
  <c r="B21" i="4"/>
  <c r="B22" i="4" s="1"/>
  <c r="B31" i="4" s="1"/>
  <c r="B20" i="4"/>
  <c r="G36" i="3"/>
  <c r="H36" i="3" s="1"/>
  <c r="F36" i="3"/>
  <c r="E36" i="3"/>
  <c r="C36" i="3"/>
  <c r="B36" i="3"/>
  <c r="F35" i="3"/>
  <c r="C35" i="3"/>
  <c r="D35" i="3" s="1"/>
  <c r="E35" i="3" s="1"/>
  <c r="B35" i="3"/>
  <c r="G34" i="3"/>
  <c r="F34" i="3"/>
  <c r="C34" i="3"/>
  <c r="D34" i="3" s="1"/>
  <c r="E34" i="3" s="1"/>
  <c r="B34" i="3"/>
  <c r="G33" i="3"/>
  <c r="F33" i="3"/>
  <c r="C33" i="3"/>
  <c r="D33" i="3" s="1"/>
  <c r="E33" i="3" s="1"/>
  <c r="B33" i="3"/>
  <c r="G32" i="3"/>
  <c r="F32" i="3"/>
  <c r="C32" i="3"/>
  <c r="D32" i="3" s="1"/>
  <c r="E32" i="3" s="1"/>
  <c r="B32" i="3"/>
  <c r="G31" i="3"/>
  <c r="F31" i="3"/>
  <c r="C31" i="3"/>
  <c r="D31" i="3" s="1"/>
  <c r="E31" i="3" s="1"/>
  <c r="B31" i="3"/>
  <c r="B24" i="3"/>
  <c r="B21" i="3"/>
  <c r="B22" i="3" s="1"/>
  <c r="B23" i="3" s="1"/>
  <c r="B40" i="3" s="1"/>
  <c r="C8" i="6" s="1"/>
  <c r="B20" i="3"/>
  <c r="B25" i="3" s="1"/>
  <c r="I66" i="2"/>
  <c r="H66" i="2"/>
  <c r="C66" i="2"/>
  <c r="B66" i="2"/>
  <c r="I65" i="2"/>
  <c r="H65" i="2"/>
  <c r="C65" i="2"/>
  <c r="B65" i="2"/>
  <c r="I64" i="2"/>
  <c r="H64" i="2"/>
  <c r="C64" i="2"/>
  <c r="B64" i="2"/>
  <c r="I63" i="2"/>
  <c r="H63" i="2"/>
  <c r="C63" i="2"/>
  <c r="B63" i="2"/>
  <c r="D63" i="2" s="1"/>
  <c r="E63" i="2" s="1"/>
  <c r="I62" i="2"/>
  <c r="H62" i="2"/>
  <c r="C62" i="2"/>
  <c r="B62" i="2"/>
  <c r="D62" i="2" s="1"/>
  <c r="E62" i="2" s="1"/>
  <c r="I61" i="2"/>
  <c r="H61" i="2"/>
  <c r="C61" i="2"/>
  <c r="B61" i="2"/>
  <c r="D61" i="2" s="1"/>
  <c r="E61" i="2" s="1"/>
  <c r="I60" i="2"/>
  <c r="H60" i="2"/>
  <c r="C60" i="2"/>
  <c r="B60" i="2"/>
  <c r="I59" i="2"/>
  <c r="H59" i="2"/>
  <c r="C59" i="2"/>
  <c r="B59" i="2"/>
  <c r="I58" i="2"/>
  <c r="H58" i="2"/>
  <c r="C58" i="2"/>
  <c r="B58" i="2"/>
  <c r="I57" i="2"/>
  <c r="H57" i="2"/>
  <c r="C57" i="2"/>
  <c r="B57" i="2"/>
  <c r="I56" i="2"/>
  <c r="H56" i="2"/>
  <c r="C56" i="2"/>
  <c r="B56" i="2"/>
  <c r="D56" i="2" s="1"/>
  <c r="E56" i="2" s="1"/>
  <c r="I55" i="2"/>
  <c r="H55" i="2"/>
  <c r="C55" i="2"/>
  <c r="B55" i="2"/>
  <c r="D55" i="2" s="1"/>
  <c r="E55" i="2" s="1"/>
  <c r="I54" i="2"/>
  <c r="H54" i="2"/>
  <c r="C54" i="2"/>
  <c r="B54" i="2"/>
  <c r="I53" i="2"/>
  <c r="H53" i="2"/>
  <c r="C53" i="2"/>
  <c r="B53" i="2"/>
  <c r="I52" i="2"/>
  <c r="H52" i="2"/>
  <c r="C52" i="2"/>
  <c r="B52" i="2"/>
  <c r="I51" i="2"/>
  <c r="H51" i="2"/>
  <c r="C51" i="2"/>
  <c r="B51" i="2"/>
  <c r="D51" i="2" s="1"/>
  <c r="E51" i="2" s="1"/>
  <c r="I50" i="2"/>
  <c r="H50" i="2"/>
  <c r="C50" i="2"/>
  <c r="B50" i="2"/>
  <c r="I49" i="2"/>
  <c r="H49" i="2"/>
  <c r="C49" i="2"/>
  <c r="B49" i="2"/>
  <c r="I48" i="2"/>
  <c r="H48" i="2"/>
  <c r="C48" i="2"/>
  <c r="B48" i="2"/>
  <c r="I47" i="2"/>
  <c r="H47" i="2"/>
  <c r="C47" i="2"/>
  <c r="B47" i="2"/>
  <c r="I46" i="2"/>
  <c r="H46" i="2"/>
  <c r="C46" i="2"/>
  <c r="B46" i="2"/>
  <c r="D46" i="2" s="1"/>
  <c r="E46" i="2" s="1"/>
  <c r="I45" i="2"/>
  <c r="H45" i="2"/>
  <c r="C45" i="2"/>
  <c r="B45" i="2"/>
  <c r="I44" i="2"/>
  <c r="H44" i="2"/>
  <c r="C44" i="2"/>
  <c r="B44" i="2"/>
  <c r="D44" i="2" s="1"/>
  <c r="E44" i="2" s="1"/>
  <c r="H43" i="2"/>
  <c r="C43" i="2"/>
  <c r="B43" i="2"/>
  <c r="B32" i="2"/>
  <c r="B29" i="2"/>
  <c r="B36" i="2" s="1"/>
  <c r="B28" i="2"/>
  <c r="B35" i="2" s="1"/>
  <c r="B27" i="2"/>
  <c r="B34" i="2" s="1"/>
  <c r="B22" i="2"/>
  <c r="B23" i="2" s="1"/>
  <c r="B33" i="2" s="1"/>
  <c r="B21" i="2"/>
  <c r="B20" i="2"/>
  <c r="F46" i="2" s="1"/>
  <c r="G46" i="2" s="1"/>
  <c r="J46" i="2" s="1"/>
  <c r="F48" i="2" l="1"/>
  <c r="G48" i="2" s="1"/>
  <c r="J48" i="2" s="1"/>
  <c r="B9" i="6" s="1"/>
  <c r="F60" i="2"/>
  <c r="G60" i="2" s="1"/>
  <c r="J60" i="2" s="1"/>
  <c r="F43" i="2"/>
  <c r="G43" i="2" s="1"/>
  <c r="J43" i="2" s="1"/>
  <c r="C9" i="6"/>
  <c r="F63" i="2"/>
  <c r="G63" i="2" s="1"/>
  <c r="J63" i="2" s="1"/>
  <c r="F58" i="2"/>
  <c r="G58" i="2" s="1"/>
  <c r="J58" i="2" s="1"/>
  <c r="F65" i="2"/>
  <c r="G65" i="2" s="1"/>
  <c r="J65" i="2" s="1"/>
  <c r="F54" i="2"/>
  <c r="G54" i="2" s="1"/>
  <c r="J54" i="2" s="1"/>
  <c r="F66" i="2"/>
  <c r="G66" i="2" s="1"/>
  <c r="J66" i="2" s="1"/>
  <c r="F49" i="2"/>
  <c r="G49" i="2" s="1"/>
  <c r="J49" i="2" s="1"/>
  <c r="F44" i="2"/>
  <c r="G44" i="2" s="1"/>
  <c r="J44" i="2" s="1"/>
  <c r="F50" i="2"/>
  <c r="G50" i="2" s="1"/>
  <c r="J50" i="2" s="1"/>
  <c r="D45" i="2"/>
  <c r="E45" i="2" s="1"/>
  <c r="F64" i="2"/>
  <c r="G64" i="2" s="1"/>
  <c r="J64" i="2" s="1"/>
  <c r="F53" i="2"/>
  <c r="G53" i="2" s="1"/>
  <c r="J53" i="2" s="1"/>
  <c r="F59" i="2"/>
  <c r="G59" i="2" s="1"/>
  <c r="J59" i="2" s="1"/>
  <c r="H33" i="3"/>
  <c r="C62" i="4"/>
  <c r="C55" i="4"/>
  <c r="C48" i="4"/>
  <c r="C65" i="4"/>
  <c r="C58" i="4"/>
  <c r="C51" i="4"/>
  <c r="C68" i="4"/>
  <c r="C61" i="4"/>
  <c r="C54" i="4"/>
  <c r="C47" i="4"/>
  <c r="C64" i="4"/>
  <c r="C57" i="4"/>
  <c r="C50" i="4"/>
  <c r="C67" i="4"/>
  <c r="C60" i="4"/>
  <c r="C53" i="4"/>
  <c r="C46" i="4"/>
  <c r="C63" i="4"/>
  <c r="C56" i="4"/>
  <c r="C49" i="4"/>
  <c r="C66" i="4"/>
  <c r="C59" i="4"/>
  <c r="C52" i="4"/>
  <c r="C45" i="4"/>
  <c r="H31" i="3"/>
  <c r="H32" i="3"/>
  <c r="D59" i="2"/>
  <c r="E59" i="2" s="1"/>
  <c r="K59" i="2" s="1"/>
  <c r="H34" i="3"/>
  <c r="K44" i="2"/>
  <c r="F61" i="2"/>
  <c r="G61" i="2" s="1"/>
  <c r="J61" i="2" s="1"/>
  <c r="K61" i="2" s="1"/>
  <c r="K51" i="2"/>
  <c r="B38" i="2"/>
  <c r="B37" i="2"/>
  <c r="B7" i="6" s="1"/>
  <c r="B41" i="3"/>
  <c r="F57" i="2"/>
  <c r="G57" i="2" s="1"/>
  <c r="J57" i="2" s="1"/>
  <c r="D57" i="2"/>
  <c r="E57" i="2" s="1"/>
  <c r="K57" i="2" s="1"/>
  <c r="F52" i="2"/>
  <c r="G52" i="2" s="1"/>
  <c r="J52" i="2" s="1"/>
  <c r="B24" i="2"/>
  <c r="F45" i="2"/>
  <c r="G45" i="2" s="1"/>
  <c r="J45" i="2" s="1"/>
  <c r="F55" i="2"/>
  <c r="G55" i="2" s="1"/>
  <c r="J55" i="2" s="1"/>
  <c r="K55" i="2" s="1"/>
  <c r="K46" i="2"/>
  <c r="B26" i="3"/>
  <c r="C7" i="6" s="1"/>
  <c r="F47" i="2"/>
  <c r="G47" i="2" s="1"/>
  <c r="J47" i="2" s="1"/>
  <c r="K63" i="2"/>
  <c r="B36" i="4"/>
  <c r="B35" i="4"/>
  <c r="D49" i="2"/>
  <c r="E49" i="2" s="1"/>
  <c r="K49" i="2" s="1"/>
  <c r="F51" i="2"/>
  <c r="G51" i="2" s="1"/>
  <c r="J51" i="2" s="1"/>
  <c r="G35" i="3"/>
  <c r="H35" i="3" s="1"/>
  <c r="D60" i="2"/>
  <c r="E60" i="2" s="1"/>
  <c r="K60" i="2" s="1"/>
  <c r="F62" i="2"/>
  <c r="G62" i="2" s="1"/>
  <c r="J62" i="2" s="1"/>
  <c r="K62" i="2" s="1"/>
  <c r="D47" i="2"/>
  <c r="E47" i="2" s="1"/>
  <c r="D58" i="2"/>
  <c r="E58" i="2" s="1"/>
  <c r="K58" i="2" s="1"/>
  <c r="D54" i="2"/>
  <c r="E54" i="2" s="1"/>
  <c r="K54" i="2" s="1"/>
  <c r="F56" i="2"/>
  <c r="G56" i="2" s="1"/>
  <c r="J56" i="2" s="1"/>
  <c r="K56" i="2" s="1"/>
  <c r="D65" i="2"/>
  <c r="E65" i="2" s="1"/>
  <c r="D66" i="2"/>
  <c r="E66" i="2" s="1"/>
  <c r="D53" i="2"/>
  <c r="E53" i="2" s="1"/>
  <c r="D43" i="2"/>
  <c r="E43" i="2" s="1"/>
  <c r="D52" i="2"/>
  <c r="E52" i="2" s="1"/>
  <c r="D50" i="2"/>
  <c r="E50" i="2" s="1"/>
  <c r="D48" i="2"/>
  <c r="E48" i="2" s="1"/>
  <c r="D64" i="2"/>
  <c r="E64" i="2" s="1"/>
  <c r="K64" i="2" l="1"/>
  <c r="K45" i="2"/>
  <c r="K66" i="2"/>
  <c r="K48" i="2"/>
  <c r="K50" i="2"/>
  <c r="K53" i="2"/>
  <c r="K65" i="2"/>
  <c r="I41" i="4"/>
  <c r="D7" i="6"/>
  <c r="K52" i="2"/>
  <c r="K43" i="2"/>
  <c r="L43" i="2" s="1"/>
  <c r="B8" i="6"/>
  <c r="G59" i="4"/>
  <c r="E59" i="4"/>
  <c r="F59" i="4" s="1"/>
  <c r="H59" i="4" s="1"/>
  <c r="B26" i="2"/>
  <c r="B25" i="2"/>
  <c r="G60" i="4"/>
  <c r="E60" i="4"/>
  <c r="F60" i="4" s="1"/>
  <c r="H60" i="4" s="1"/>
  <c r="G50" i="4"/>
  <c r="E50" i="4"/>
  <c r="F50" i="4" s="1"/>
  <c r="H50" i="4" s="1"/>
  <c r="I31" i="3"/>
  <c r="B39" i="3"/>
  <c r="G49" i="4"/>
  <c r="E49" i="4"/>
  <c r="F49" i="4" s="1"/>
  <c r="H49" i="4" s="1"/>
  <c r="G56" i="4"/>
  <c r="E56" i="4"/>
  <c r="F56" i="4" s="1"/>
  <c r="G63" i="4"/>
  <c r="E63" i="4"/>
  <c r="F63" i="4" s="1"/>
  <c r="H63" i="4" s="1"/>
  <c r="G46" i="4"/>
  <c r="E46" i="4"/>
  <c r="F46" i="4" s="1"/>
  <c r="H46" i="4" s="1"/>
  <c r="G57" i="4"/>
  <c r="E57" i="4"/>
  <c r="F57" i="4" s="1"/>
  <c r="G64" i="4"/>
  <c r="E64" i="4"/>
  <c r="F64" i="4" s="1"/>
  <c r="G47" i="4"/>
  <c r="E47" i="4"/>
  <c r="F47" i="4" s="1"/>
  <c r="H47" i="4" s="1"/>
  <c r="G54" i="4"/>
  <c r="E54" i="4"/>
  <c r="F54" i="4" s="1"/>
  <c r="H54" i="4" s="1"/>
  <c r="G61" i="4"/>
  <c r="E61" i="4"/>
  <c r="F61" i="4" s="1"/>
  <c r="E65" i="4"/>
  <c r="F65" i="4" s="1"/>
  <c r="G65" i="4"/>
  <c r="E48" i="4"/>
  <c r="F48" i="4" s="1"/>
  <c r="G48" i="4"/>
  <c r="G62" i="4"/>
  <c r="E62" i="4"/>
  <c r="F62" i="4" s="1"/>
  <c r="H62" i="4" s="1"/>
  <c r="G66" i="4"/>
  <c r="E66" i="4"/>
  <c r="F66" i="4" s="1"/>
  <c r="H66" i="4" s="1"/>
  <c r="G53" i="4"/>
  <c r="E53" i="4"/>
  <c r="F53" i="4" s="1"/>
  <c r="G67" i="4"/>
  <c r="E67" i="4"/>
  <c r="F67" i="4" s="1"/>
  <c r="H67" i="4" s="1"/>
  <c r="K47" i="2"/>
  <c r="G68" i="4"/>
  <c r="E68" i="4"/>
  <c r="F68" i="4" s="1"/>
  <c r="G51" i="4"/>
  <c r="E51" i="4"/>
  <c r="F51" i="4" s="1"/>
  <c r="H51" i="4" s="1"/>
  <c r="G58" i="4"/>
  <c r="E58" i="4"/>
  <c r="F58" i="4" s="1"/>
  <c r="G55" i="4"/>
  <c r="E55" i="4"/>
  <c r="F55" i="4" s="1"/>
  <c r="H55" i="4" s="1"/>
  <c r="G45" i="4"/>
  <c r="E45" i="4"/>
  <c r="F45" i="4" s="1"/>
  <c r="G52" i="4"/>
  <c r="E52" i="4"/>
  <c r="F52" i="4" s="1"/>
  <c r="H52" i="4" s="1"/>
  <c r="H53" i="4" l="1"/>
  <c r="D8" i="6"/>
  <c r="H61" i="4"/>
  <c r="D9" i="6"/>
  <c r="H64" i="4"/>
  <c r="H68" i="4"/>
  <c r="H57" i="4"/>
  <c r="I42" i="4"/>
  <c r="I43" i="4" s="1"/>
  <c r="I44" i="4" s="1"/>
  <c r="I32" i="3"/>
  <c r="I33" i="3" s="1"/>
  <c r="I34" i="3" s="1"/>
  <c r="I35" i="3" s="1"/>
  <c r="I36" i="3" s="1"/>
  <c r="C10" i="6" s="1"/>
  <c r="C11" i="6" s="1"/>
  <c r="L44" i="2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B10" i="6" s="1"/>
  <c r="B11" i="6" s="1"/>
  <c r="H48" i="4"/>
  <c r="H45" i="4"/>
  <c r="I45" i="4" s="1"/>
  <c r="I46" i="4" s="1"/>
  <c r="I47" i="4" s="1"/>
  <c r="I48" i="4" s="1"/>
  <c r="I49" i="4" s="1"/>
  <c r="I50" i="4" s="1"/>
  <c r="I51" i="4" s="1"/>
  <c r="I52" i="4" s="1"/>
  <c r="H65" i="4"/>
  <c r="H56" i="4"/>
  <c r="H58" i="4"/>
  <c r="I53" i="4" l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D10" i="6" s="1"/>
  <c r="D11" i="6" s="1"/>
  <c r="C12" i="6" a="1"/>
  <c r="C12" i="6" s="1"/>
  <c r="B12" i="6" a="1"/>
  <c r="B12" i="6" s="1"/>
  <c r="D12" i="6" l="1" a="1"/>
  <c r="D1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<sst xmlns="http://schemas.openxmlformats.org/spreadsheetml/2006/main" count="338" uniqueCount="231">
  <si>
    <t>DATOS TÉCNICOS Y CURVAS DE REFERENCIA</t>
  </si>
  <si>
    <t>Constantes</t>
  </si>
  <si>
    <t>Días promedio por mes</t>
  </si>
  <si>
    <t>Mortalidad mensual postura (%)</t>
  </si>
  <si>
    <t>Mortalidad semanal recría (%)</t>
  </si>
  <si>
    <t>Semanas de recría estándar</t>
  </si>
  <si>
    <t>Parámetros por línea genética</t>
  </si>
  <si>
    <t>Línea</t>
  </si>
  <si>
    <t>Tipo</t>
  </si>
  <si>
    <t>Aprox.</t>
  </si>
  <si>
    <t>Consumo g/día</t>
  </si>
  <si>
    <t>Agua ratio</t>
  </si>
  <si>
    <t>m²/ave piso</t>
  </si>
  <si>
    <t>m²/ave jaula</t>
  </si>
  <si>
    <t>m²/ave semi</t>
  </si>
  <si>
    <t>m²/ave cría</t>
  </si>
  <si>
    <t>Comedero cm</t>
  </si>
  <si>
    <t>Aves/tolva</t>
  </si>
  <si>
    <t>Aves/nipple</t>
  </si>
  <si>
    <t>Aves/campana</t>
  </si>
  <si>
    <t>Bebedero cm</t>
  </si>
  <si>
    <t>Aves/nido</t>
  </si>
  <si>
    <t>Postura prom %</t>
  </si>
  <si>
    <t>Postura pico %</t>
  </si>
  <si>
    <t>Sem. pelecha</t>
  </si>
  <si>
    <t>Hy-Line Brown</t>
  </si>
  <si>
    <t>Café</t>
  </si>
  <si>
    <t>No</t>
  </si>
  <si>
    <t>Lohmann Brown</t>
  </si>
  <si>
    <t>Sí</t>
  </si>
  <si>
    <t>Hy-Line W-36</t>
  </si>
  <si>
    <t>Blanco</t>
  </si>
  <si>
    <t>Lohmann LSL</t>
  </si>
  <si>
    <t>Curvas de postura mensual (%)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</si>
  <si>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</si>
  <si>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</si>
  <si>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</si>
  <si>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</si>
  <si>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</si>
  <si>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</si>
  <si>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</si>
  <si>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</si>
  <si>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</si>
  <si>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</si>
  <si>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</si>
  <si>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</si>
  <si>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</si>
  <si>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</si>
  <si>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</si>
  <si>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</si>
  <si>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</si>
  <si>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</si>
  <si>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</si>
  <si>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</si>
  <si>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</si>
  <si>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</si>
  <si>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</si>
  <si>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</si>
  <si>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Consumo recría g/ave/día por semana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</si>
  <si>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</si>
  <si>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</si>
  <si>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</si>
  <si>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</si>
  <si>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</si>
  <si>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</si>
  <si>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</si>
  <si>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</si>
  <si>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</si>
  <si>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</si>
  <si>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</si>
  <si>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</si>
  <si>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</si>
  <si>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</si>
  <si>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</si>
  <si>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</si>
  <si>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</si>
  <si>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Café (Hy-Line Brown / Lohmann Brown)</t>
  </si>
  <si>
    <t>Blanco (Hy-Line W-36 / Lohmann LSL)</t>
  </si>
  <si>
    <t>Las curvas Lohmann son aproximaciones conservadoras, no datos oficiales del fabricante.</t>
  </si>
  <si>
    <t>CALCULADORA AVÍCOLA — MODO POSTURA</t>
  </si>
  <si>
    <t>Compra de gallinas listas para poner → operar hasta la pelecha</t>
  </si>
  <si>
    <t>DATOS DEL PROYECTO</t>
  </si>
  <si>
    <t>LÍNEA GENÉTICA (ingresa 1, 2, 3 o 4)</t>
  </si>
  <si>
    <t>Número de aves</t>
  </si>
  <si>
    <t>1=Hy-Line Brown · 2=Lohmann Brown · 3=Hy-Line W-36 · 4=Lohmann LSL</t>
  </si>
  <si>
    <t>Precio gallina lista / unidad</t>
  </si>
  <si>
    <t>Línea seleccionada</t>
  </si>
  <si>
    <t>Precio venta huevo / unidad</t>
  </si>
  <si>
    <t>Sistema (1=Piso, 2=Jaula, 3=Semi-pastoreo)</t>
  </si>
  <si>
    <t>Precio alimento postura / kg</t>
  </si>
  <si>
    <t>Comedero (1=Tolva, 2=Lineal)</t>
  </si>
  <si>
    <t>Costo construcción / m²</t>
  </si>
  <si>
    <t>Bebedero (1=Nipple, 2=Campana, 3=Canal)</t>
  </si>
  <si>
    <t>Infraestructura adicional (monto fijo)</t>
  </si>
  <si>
    <t>Precio unitario comedero</t>
  </si>
  <si>
    <t>Vida útil infraestructura (meses)</t>
  </si>
  <si>
    <t>Precio unitario bebedero</t>
  </si>
  <si>
    <t>Mano de obra mensual</t>
  </si>
  <si>
    <t>Precio unitario nido</t>
  </si>
  <si>
    <t>Otros costos mensuales</t>
  </si>
  <si>
    <t>Reposición aves (%/mes)</t>
  </si>
  <si>
    <t>Meses a proyectar</t>
  </si>
  <si>
    <t>Ingresa tus valores en las celdas azules</t>
  </si>
  <si>
    <t>DIMENSIONAMIENTO TÉCNICO</t>
  </si>
  <si>
    <t>Consumo alimento g/ave/día</t>
  </si>
  <si>
    <t>Ratio agua:alimento</t>
  </si>
  <si>
    <t>m²/ave según sistema</t>
  </si>
  <si>
    <t>Área requerida (m²)</t>
  </si>
  <si>
    <t>Alimento diario (kg)</t>
  </si>
  <si>
    <t>Alimento mensual (kg)</t>
  </si>
  <si>
    <t>Agua diaria (L)</t>
  </si>
  <si>
    <t>Comederos requeridos</t>
  </si>
  <si>
    <t>Bebederos requeridos</t>
  </si>
  <si>
    <t>Nidos requeridos</t>
  </si>
  <si>
    <t>INVERSIÓN INICIAL</t>
  </si>
  <si>
    <t>Costo aves</t>
  </si>
  <si>
    <t>Costo infraestructura</t>
  </si>
  <si>
    <t>Costo comederos</t>
  </si>
  <si>
    <t>Costo bebederos</t>
  </si>
  <si>
    <t>Costo nidos</t>
  </si>
  <si>
    <t>TOTAL INVERSIÓN INICIAL</t>
  </si>
  <si>
    <t>Depreciación mensual infra</t>
  </si>
  <si>
    <t>FLUJO MENSUAL PROYECTADO</t>
  </si>
  <si>
    <t>La inversión se descuenta del flujo acumulado desde el mes 1. Mortalidad 0.5%/mes.</t>
  </si>
  <si>
    <t>Mes</t>
  </si>
  <si>
    <t>Aves productivas</t>
  </si>
  <si>
    <t>Postura %</t>
  </si>
  <si>
    <t>Huevos</t>
  </si>
  <si>
    <t>Ingresos</t>
  </si>
  <si>
    <t>Alimento kg</t>
  </si>
  <si>
    <t>Costo alim.</t>
  </si>
  <si>
    <t>Otros costos</t>
  </si>
  <si>
    <t>Reposición</t>
  </si>
  <si>
    <t>Egresos op.</t>
  </si>
  <si>
    <t>Flujo neto</t>
  </si>
  <si>
    <t>Flujo acumulado</t>
  </si>
  <si>
    <t>CALCULADORA AVÍCOLA — MODO CRÍA Y VENTA</t>
  </si>
  <si>
    <t>Compra de pollitas de 1 día → venta como pollonas listas para postura</t>
  </si>
  <si>
    <t>LÍNEA GENÉTICA (1, 2, 3 o 4)</t>
  </si>
  <si>
    <t>Número de pollitas</t>
  </si>
  <si>
    <t>Precio pollita 1 día</t>
  </si>
  <si>
    <t>Precio venta pollona</t>
  </si>
  <si>
    <t>Precio alimento recría / kg</t>
  </si>
  <si>
    <t>Infraestructura adicional</t>
  </si>
  <si>
    <t>Semana de venta</t>
  </si>
  <si>
    <t>CÁLCULOS DEL CICLO DE CRÍA</t>
  </si>
  <si>
    <t>Área cría (m²)</t>
  </si>
  <si>
    <t>Mortalidad acum. recría (%)</t>
  </si>
  <si>
    <t>Aves estimadas al vender</t>
  </si>
  <si>
    <t>Ingreso por venta</t>
  </si>
  <si>
    <t>Costo pollitas</t>
  </si>
  <si>
    <t>Alimento de recría por mes. El ingreso por venta se registra en el último mes.</t>
  </si>
  <si>
    <t>Semanas</t>
  </si>
  <si>
    <t>Aves vivas</t>
  </si>
  <si>
    <t>Alimento kg (est.)</t>
  </si>
  <si>
    <t>Costo alimento</t>
  </si>
  <si>
    <t>Ingreso venta</t>
  </si>
  <si>
    <t>RESUMEN ECONÓMICO</t>
  </si>
  <si>
    <t>Inversión inicial</t>
  </si>
  <si>
    <t>Ingreso total por venta</t>
  </si>
  <si>
    <t>Margen bruto estimado</t>
  </si>
  <si>
    <t>CALCULADORA AVÍCOLA — CICLO COMPLETO</t>
  </si>
  <si>
    <t>Cría desde pollita de 1 día → postura hasta la pelecha</t>
  </si>
  <si>
    <t>Reposición aves postura (%/mes)</t>
  </si>
  <si>
    <t>DIMENSIONAMIENTO Y COSTOS</t>
  </si>
  <si>
    <t>Consumo postura g/ave/día</t>
  </si>
  <si>
    <t>m²/ave postura</t>
  </si>
  <si>
    <t>Aves al inicio postura</t>
  </si>
  <si>
    <t>Fase ámbar = recría (sin ingresos). Fase verde = postura.</t>
  </si>
  <si>
    <t>Fase</t>
  </si>
  <si>
    <t>Aves</t>
  </si>
  <si>
    <t>Postura/Sem.</t>
  </si>
  <si>
    <t>Huevos / Alim. kg</t>
  </si>
  <si>
    <t>Recría</t>
  </si>
  <si>
    <t>Sem. 1–4</t>
  </si>
  <si>
    <t>—</t>
  </si>
  <si>
    <t>Sem. 5–8</t>
  </si>
  <si>
    <t>Sem. 9–12</t>
  </si>
  <si>
    <t>Sem. 13–16</t>
  </si>
  <si>
    <t>Postura</t>
  </si>
  <si>
    <t>AGROMACK</t>
  </si>
  <si>
    <t>Kit Avícola Profesional — Sistema de Gestión y Costeo</t>
  </si>
  <si>
    <t>CALCULADORA INTEGRAL AVÍCOLA</t>
  </si>
  <si>
    <t>Planifica, costea y proyecta tu producción avícola en minutos — postura, cría y venta, o ciclo completo.</t>
  </si>
  <si>
    <t>📂 ¿QUÉ INCLUYE ESTE KIT?</t>
  </si>
  <si>
    <t>Datos Técnicos</t>
  </si>
  <si>
    <t>Parámetros de referencia por línea genética (Hy-Line, Lohmann): curvas de postura, consumo de alimento y mortalidad. Alimenta automáticamente los 3 módulos de cálculo.</t>
  </si>
  <si>
    <t>Compra de gallinas listas para poner. Calcula inversión, dimensionamiento e ingresos hasta la pelecha (24 meses).</t>
  </si>
  <si>
    <t>Cría y Venta</t>
  </si>
  <si>
    <t>Compra de pollitas de 1 día para vender como pollonas listas para postura. Ideal para negocios de recría.</t>
  </si>
  <si>
    <t>Ciclo Completo</t>
  </si>
  <si>
    <t>Cría desde pollita de 1 día hasta el final de la etapa de postura. Vista integral del negocio completo.</t>
  </si>
  <si>
    <t>Dashboard</t>
  </si>
  <si>
    <t>Resumen ejecutivo con los KPI clave de los 3 modos de operación y gráfico comparativo, actualizado en tiempo real.</t>
  </si>
  <si>
    <t>⚙️ CÓMO USAR ESTA CALCULADORA</t>
  </si>
  <si>
    <t>Paso 1</t>
  </si>
  <si>
    <t>Ve a la hoja "Datos Técnicos" y confirma o ajusta los parámetros técnicos de tu línea genética (opcional, ya vienen precargados).</t>
  </si>
  <si>
    <t>Paso 2</t>
  </si>
  <si>
    <t>Elige el módulo que se ajusta a tu negocio: "Postura", "Cría y Venta" o "Ciclo Completo".</t>
  </si>
  <si>
    <t>Paso 3</t>
  </si>
  <si>
    <t>Ingresa tus datos en las celdas AZULES (número de aves, precios, costos). El resto se calcula solo.</t>
  </si>
  <si>
    <t>Paso 4</t>
  </si>
  <si>
    <t>Revisa el flujo mensual proyectado: verde = flujo acumulado positivo, rojo = aún en déficit.</t>
  </si>
  <si>
    <t>Paso 5</t>
  </si>
  <si>
    <t>Ve al "Dashboard" para comparar los 3 modos y decidir cuál conviene más a tu proyecto.</t>
  </si>
  <si>
    <t>🎨 CÓDIGO DE COLORES</t>
  </si>
  <si>
    <t>Celda azul</t>
  </si>
  <si>
    <t>Dato editable: aquí ingresas tus propios números (precios, cantidades, costos).</t>
  </si>
  <si>
    <t>Celda verde clara</t>
  </si>
  <si>
    <t>Cálculo técnico automático (consumo, área, equipos). No requiere edición.</t>
  </si>
  <si>
    <t>Fila verde</t>
  </si>
  <si>
    <t>Flujo de caja acumulado positivo: el proyecto ya recuperó la inversión.</t>
  </si>
  <si>
    <t>Fila roja</t>
  </si>
  <si>
    <t>Flujo de caja acumulado negativo: el proyecto aún no recupera la inversión.</t>
  </si>
  <si>
    <t>💡 RECOMENDACIONES</t>
  </si>
  <si>
    <t>•</t>
  </si>
  <si>
    <t>Usa precios y costos actualizados de tu zona para proyecciones realistas.</t>
  </si>
  <si>
    <t>Las curvas Lohmann son aproximaciones conservadoras (ver hoja Datos Técnicos).</t>
  </si>
  <si>
    <t>Este kit es una herramienta de apoyo a la decisión; valida los resultados con tu propia experiencia de campo.</t>
  </si>
  <si>
    <t>www.agromack.cl · contacto@agromack.cl · Versión 1.0</t>
  </si>
  <si>
    <t>Kit Avícola Profesional</t>
  </si>
  <si>
    <t>DASHBOARD COMPARATIVO — 3 MODOS DE OPERACIÓN</t>
  </si>
  <si>
    <t>Resumen ejecutivo enlazado a los módulos de cálculo. Se actualiza automáticamente al cambiar los supuestos en cada hoja.</t>
  </si>
  <si>
    <t>Indicador</t>
  </si>
  <si>
    <t>Inversión inicial ($)</t>
  </si>
  <si>
    <t>Ingreso total proyectado ($)</t>
  </si>
  <si>
    <t>Costo operativo total ($)</t>
  </si>
  <si>
    <t>Flujo acumulado final ($)</t>
  </si>
  <si>
    <t>Margen sobre inversión (%)</t>
  </si>
  <si>
    <t>Periodo de recuperación</t>
  </si>
  <si>
    <t>Kit Avícola Profesional · Sistema de Gestión y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</si>
</sst>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 &quot;$&quot;* #,##0_ ;_ &quot;$&quot;* \-#,##0_ ;_ &quot;$&quot;* &quot;-&quot;_ ;_ @_ "/>
    <numFmt numFmtId="164" formatCode="0.0###"/>
    <numFmt numFmtId="165" formatCode="0.0%"/>
    <numFmt numFmtId="166" formatCode="0.0"/>
    <numFmt numFmtId="167" formatCode="0.000"/>
    <numFmt numFmtId="168" formatCode="#,##0.0"/>
    <numFmt numFmtId="169" formatCode="_ &quot;$&quot;* #,##0.0_ ;_ &quot;$&quot;* \-#,##0.0_ ;_ &quot;$&quot;* &quot;-&quot;_ ;_ @_ "/>
    <numFmt numFmtId="170" formatCode="_ &quot;$&quot;* #,##0.00_ ;_ &quot;$&quot;* \-#,##0.00_ ;_ &quot;$&quot;* &quot;-&quot;_ ;_ @_ "/>
    <numFmt numFmtId="171" formatCode="&quot;$&quot;#,##0;\(&quot;$&quot;#,##0\);&quot;-&quot;"/>
  </numFmts>
  <fonts count="30" x14ac:knownFonts="1">
    <font>
      <sz val="11"/>
      <color theme="1"/>
      <name val="Calibri"/>
      <family val="2"/>
      <charset val="1"/>
    </font>
    <font>
      <b/>
      <sz val="16"/>
      <color rgb="FF2D4A2D"/>
      <name val="Arial"/>
      <family val="2"/>
    </font>
    <font>
      <b/>
      <sz val="12"/>
      <color rgb="FF3F6B3F"/>
      <name val="Arial"/>
      <family val="2"/>
    </font>
    <font>
      <sz val="9"/>
      <color rgb="FF665A4B"/>
      <name val="Arial"/>
      <family val="2"/>
    </font>
    <font>
      <b/>
      <sz val="10"/>
      <color rgb="FF0000FF"/>
      <name val="Arial"/>
      <family val="2"/>
    </font>
    <font>
      <b/>
      <sz val="9"/>
      <color rgb="FFFFFFFF"/>
      <name val="Arial"/>
      <family val="2"/>
    </font>
    <font>
      <sz val="9"/>
      <color rgb="FF2B241C"/>
      <name val="Arial"/>
      <family val="2"/>
    </font>
    <font>
      <i/>
      <sz val="8"/>
      <color rgb="FF665A4B"/>
      <name val="Arial"/>
      <family val="2"/>
    </font>
    <font>
      <b/>
      <sz val="10"/>
      <color rgb="FF2D4A2D"/>
      <name val="Arial"/>
      <family val="2"/>
    </font>
    <font>
      <sz val="11"/>
      <color theme="1"/>
      <name val="Calibri"/>
      <family val="2"/>
      <charset val="1"/>
    </font>
    <font>
      <b/>
      <sz val="20"/>
      <color rgb="FFE8B84B"/>
      <name val="Arial"/>
      <family val="2"/>
    </font>
    <font>
      <i/>
      <sz val="11"/>
      <color rgb="FFFFFFFF"/>
      <name val="Arial"/>
      <family val="2"/>
    </font>
    <font>
      <b/>
      <sz val="18"/>
      <color rgb="FF2D4A2D"/>
      <name val="Arial"/>
      <family val="2"/>
    </font>
    <font>
      <sz val="11"/>
      <color rgb="FF665A4B"/>
      <name val="Arial"/>
      <family val="2"/>
    </font>
    <font>
      <i/>
      <sz val="11"/>
      <color rgb="FF665A4B"/>
      <name val="Arial"/>
      <family val="2"/>
    </font>
    <font>
      <b/>
      <sz val="13"/>
      <color rgb="FFFFFFFF"/>
      <name val="Arial"/>
      <family val="2"/>
    </font>
    <font>
      <sz val="11"/>
      <color rgb="FF2D4A2D"/>
      <name val="Arial"/>
      <family val="2"/>
    </font>
    <font>
      <b/>
      <sz val="11"/>
      <color rgb="FF2D4A2D"/>
      <name val="Arial"/>
      <family val="2"/>
    </font>
    <font>
      <sz val="11"/>
      <color rgb="FF2B241C"/>
      <name val="Arial"/>
      <family val="2"/>
    </font>
    <font>
      <b/>
      <sz val="11"/>
      <color rgb="FF0000FF"/>
      <name val="Arial"/>
      <family val="2"/>
    </font>
    <font>
      <b/>
      <sz val="11"/>
      <color rgb="FF006100"/>
      <name val="Arial"/>
      <family val="2"/>
    </font>
    <font>
      <b/>
      <sz val="11"/>
      <color rgb="FF9C0006"/>
      <name val="Arial"/>
      <family val="2"/>
    </font>
    <font>
      <b/>
      <sz val="10"/>
      <color rgb="FFFFFFFF"/>
      <name val="Arial"/>
      <family val="2"/>
    </font>
    <font>
      <i/>
      <sz val="9"/>
      <color rgb="FFFFFFFF"/>
      <name val="Arial"/>
      <family val="2"/>
    </font>
    <font>
      <i/>
      <sz val="10"/>
      <color rgb="FF665A4B"/>
      <name val="Arial"/>
      <family val="2"/>
    </font>
    <font>
      <sz val="11"/>
      <color rgb="FF008000"/>
      <name val="Arial"/>
      <family val="2"/>
    </font>
    <font>
      <b/>
      <sz val="11"/>
      <color rgb="FF665A4B"/>
      <name val="Arial"/>
      <family val="2"/>
    </font>
    <font>
      <b/>
      <sz val="11"/>
      <color rgb="FF008000"/>
      <name val="Arial"/>
      <family val="2"/>
    </font>
    <font>
      <sz val="11"/>
      <color rgb="FF000000"/>
      <name val="Arial"/>
      <family val="2"/>
    </font>
    <font>
      <b/>
      <sz val="14"/>
      <color rgb="FFE8B84B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7EFE2"/>
        <bgColor rgb="FFFFF5E6"/>
      </patternFill>
    </fill>
    <fill>
      <patternFill patternType="solid">
        <fgColor rgb="FFFFFFF0"/>
        <bgColor rgb="FFFFFFFF"/>
      </patternFill>
    </fill>
    <fill>
      <patternFill patternType="solid">
        <fgColor rgb="FF2D4A2D"/>
        <bgColor rgb="FF3F6B3F"/>
      </patternFill>
    </fill>
    <fill>
      <patternFill patternType="solid">
        <fgColor rgb="FFFFFFFF"/>
        <bgColor rgb="FFFFFFF0"/>
      </patternFill>
    </fill>
    <fill>
      <patternFill patternType="solid">
        <fgColor rgb="FFEEF5EE"/>
        <bgColor rgb="FFF7EFE2"/>
      </patternFill>
    </fill>
    <fill>
      <patternFill patternType="solid">
        <fgColor rgb="FFFFF5E6"/>
        <bgColor rgb="FFF7EFE2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B3A2B"/>
        <bgColor indexed="64"/>
      </patternFill>
    </fill>
    <fill>
      <patternFill patternType="solid">
        <fgColor rgb="FF2D4A2D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EEF5EE"/>
        <bgColor indexed="64"/>
      </patternFill>
    </fill>
    <fill>
      <patternFill patternType="solid">
        <fgColor rgb="FFF7EFE2"/>
        <bgColor indexed="64"/>
      </patternFill>
    </fill>
  </fills>
  <borders count="2">
    <border>
      <left/>
      <right/>
      <top/>
      <bottom/>
      <diagonal/>
    </border>
    <border>
      <left style="thin">
        <color rgb="FFD3BEA0"/>
      </left>
      <right style="thin">
        <color rgb="FFD3BEA0"/>
      </right>
      <top style="thin">
        <color rgb="FFD3BEA0"/>
      </top>
      <bottom style="thin">
        <color rgb="FFD3BEA0"/>
      </bottom>
      <diagonal/>
    </border>
  </borders>
  <cellStyleXfs count="2">
    <xf numFmtId="0" fontId="0" fillId="0" borderId="0"/>
    <xf numFmtId="42" fontId="9" fillId="0" borderId="0" applyFont="0" applyFill="0" applyBorder="0" applyAlignment="0" applyProtection="0"/>
  </cellStyleXfs>
  <cellXfs count="65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right" vertical="center"/>
    </xf>
    <xf numFmtId="3" fontId="8" fillId="6" borderId="1" xfId="0" applyNumberFormat="1" applyFont="1" applyFill="1" applyBorder="1" applyAlignment="1">
      <alignment horizontal="right" vertical="center"/>
    </xf>
    <xf numFmtId="166" fontId="8" fillId="6" borderId="1" xfId="0" applyNumberFormat="1" applyFont="1" applyFill="1" applyBorder="1" applyAlignment="1">
      <alignment horizontal="right" vertical="center"/>
    </xf>
    <xf numFmtId="167" fontId="8" fillId="6" borderId="1" xfId="0" applyNumberFormat="1" applyFont="1" applyFill="1" applyBorder="1" applyAlignment="1">
      <alignment horizontal="right" vertical="center"/>
    </xf>
    <xf numFmtId="168" fontId="8" fillId="6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4" fontId="8" fillId="6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4" fontId="6" fillId="5" borderId="1" xfId="0" applyNumberFormat="1" applyFont="1" applyFill="1" applyBorder="1" applyAlignment="1">
      <alignment horizontal="right" vertical="center"/>
    </xf>
    <xf numFmtId="168" fontId="6" fillId="5" borderId="1" xfId="0" applyNumberFormat="1" applyFont="1" applyFill="1" applyBorder="1" applyAlignment="1">
      <alignment horizontal="right" vertical="center"/>
    </xf>
    <xf numFmtId="10" fontId="6" fillId="5" borderId="1" xfId="0" applyNumberFormat="1" applyFont="1" applyFill="1" applyBorder="1" applyAlignment="1">
      <alignment horizontal="right" vertical="center"/>
    </xf>
    <xf numFmtId="10" fontId="8" fillId="6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0" borderId="0" xfId="0" applyFont="1"/>
    <xf numFmtId="3" fontId="4" fillId="3" borderId="1" xfId="0" applyNumberFormat="1" applyFont="1" applyFill="1" applyBorder="1" applyAlignment="1" applyProtection="1">
      <alignment horizontal="right" vertical="center"/>
      <protection locked="0"/>
    </xf>
    <xf numFmtId="165" fontId="4" fillId="3" borderId="1" xfId="0" applyNumberFormat="1" applyFont="1" applyFill="1" applyBorder="1" applyAlignment="1" applyProtection="1">
      <alignment horizontal="right" vertical="center"/>
      <protection locked="0"/>
    </xf>
    <xf numFmtId="42" fontId="4" fillId="3" borderId="1" xfId="1" applyFont="1" applyFill="1" applyBorder="1" applyAlignment="1" applyProtection="1">
      <alignment horizontal="right" vertical="center"/>
      <protection locked="0"/>
    </xf>
    <xf numFmtId="169" fontId="4" fillId="3" borderId="1" xfId="1" applyNumberFormat="1" applyFont="1" applyFill="1" applyBorder="1" applyAlignment="1" applyProtection="1">
      <alignment horizontal="right" vertical="center"/>
      <protection locked="0"/>
    </xf>
    <xf numFmtId="170" fontId="4" fillId="3" borderId="1" xfId="1" applyNumberFormat="1" applyFont="1" applyFill="1" applyBorder="1" applyAlignment="1" applyProtection="1">
      <alignment horizontal="right" vertical="center"/>
      <protection locked="0"/>
    </xf>
    <xf numFmtId="42" fontId="8" fillId="6" borderId="1" xfId="1" applyFont="1" applyFill="1" applyBorder="1" applyAlignment="1">
      <alignment horizontal="right" vertical="center"/>
    </xf>
    <xf numFmtId="42" fontId="6" fillId="5" borderId="1" xfId="1" applyFont="1" applyFill="1" applyBorder="1" applyAlignment="1">
      <alignment horizontal="right" vertical="center"/>
    </xf>
    <xf numFmtId="169" fontId="8" fillId="6" borderId="1" xfId="1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 applyProtection="1">
      <alignment horizontal="right" vertical="center"/>
      <protection locked="0"/>
    </xf>
    <xf numFmtId="170" fontId="8" fillId="6" borderId="1" xfId="1" applyNumberFormat="1" applyFont="1" applyFill="1" applyBorder="1" applyAlignment="1">
      <alignment horizontal="right" vertical="center"/>
    </xf>
    <xf numFmtId="0" fontId="10" fillId="10" borderId="0" xfId="0" applyFont="1" applyFill="1"/>
    <xf numFmtId="0" fontId="11" fillId="10" borderId="0" xfId="0" applyFont="1" applyFill="1" applyAlignment="1">
      <alignment horizontal="right"/>
    </xf>
    <xf numFmtId="0" fontId="0" fillId="10" borderId="0" xfId="0" applyFill="1"/>
    <xf numFmtId="0" fontId="12" fillId="0" borderId="0" xfId="0" applyFont="1"/>
    <xf numFmtId="0" fontId="14" fillId="0" borderId="0" xfId="0" applyFont="1"/>
    <xf numFmtId="0" fontId="15" fillId="11" borderId="0" xfId="0" applyFont="1" applyFill="1"/>
    <xf numFmtId="0" fontId="0" fillId="11" borderId="0" xfId="0" applyFill="1"/>
    <xf numFmtId="0" fontId="22" fillId="10" borderId="0" xfId="0" applyFont="1" applyFill="1"/>
    <xf numFmtId="0" fontId="23" fillId="10" borderId="0" xfId="0" applyFont="1" applyFill="1" applyAlignment="1">
      <alignment horizontal="right"/>
    </xf>
    <xf numFmtId="0" fontId="1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11" borderId="0" xfId="0" applyFill="1" applyAlignment="1">
      <alignment vertical="top" wrapText="1"/>
    </xf>
    <xf numFmtId="0" fontId="17" fillId="0" borderId="0" xfId="0" applyFont="1" applyAlignment="1">
      <alignment vertical="top"/>
    </xf>
    <xf numFmtId="0" fontId="0" fillId="0" borderId="0" xfId="0" applyAlignment="1">
      <alignment vertical="top"/>
    </xf>
    <xf numFmtId="0" fontId="15" fillId="11" borderId="0" xfId="0" applyFont="1" applyFill="1" applyAlignment="1">
      <alignment vertical="top"/>
    </xf>
    <xf numFmtId="0" fontId="19" fillId="12" borderId="0" xfId="0" applyFont="1" applyFill="1" applyAlignment="1">
      <alignment vertical="top"/>
    </xf>
    <xf numFmtId="0" fontId="17" fillId="13" borderId="0" xfId="0" applyFont="1" applyFill="1" applyAlignment="1">
      <alignment vertical="top"/>
    </xf>
    <xf numFmtId="0" fontId="20" fillId="8" borderId="0" xfId="0" applyFont="1" applyFill="1" applyAlignment="1">
      <alignment vertical="top"/>
    </xf>
    <xf numFmtId="0" fontId="21" fillId="9" borderId="0" xfId="0" applyFont="1" applyFill="1" applyAlignment="1">
      <alignment vertical="top"/>
    </xf>
    <xf numFmtId="0" fontId="16" fillId="0" borderId="0" xfId="0" applyFont="1" applyAlignment="1">
      <alignment vertical="top"/>
    </xf>
    <xf numFmtId="0" fontId="24" fillId="0" borderId="0" xfId="0" applyFont="1"/>
    <xf numFmtId="0" fontId="22" fillId="11" borderId="1" xfId="0" applyFont="1" applyFill="1" applyBorder="1" applyAlignment="1">
      <alignment horizontal="left"/>
    </xf>
    <xf numFmtId="0" fontId="22" fillId="11" borderId="1" xfId="0" applyFont="1" applyFill="1" applyBorder="1" applyAlignment="1">
      <alignment horizontal="center"/>
    </xf>
    <xf numFmtId="0" fontId="13" fillId="14" borderId="1" xfId="0" applyFont="1" applyFill="1" applyBorder="1"/>
    <xf numFmtId="171" fontId="25" fillId="0" borderId="1" xfId="0" applyNumberFormat="1" applyFont="1" applyBorder="1" applyAlignment="1">
      <alignment horizontal="center"/>
    </xf>
    <xf numFmtId="0" fontId="26" fillId="14" borderId="1" xfId="0" applyFont="1" applyFill="1" applyBorder="1"/>
    <xf numFmtId="171" fontId="27" fillId="0" borderId="1" xfId="0" applyNumberFormat="1" applyFont="1" applyBorder="1" applyAlignment="1">
      <alignment horizontal="center"/>
    </xf>
    <xf numFmtId="165" fontId="28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10" borderId="0" xfId="0" applyFont="1" applyFill="1" applyAlignment="1">
      <alignment horizontal="left"/>
    </xf>
    <xf numFmtId="4" fontId="4" fillId="3" borderId="1" xfId="0" applyNumberFormat="1" applyFont="1" applyFill="1" applyBorder="1" applyAlignment="1" applyProtection="1">
      <alignment horizontal="right" vertical="center"/>
      <protection locked="0"/>
    </xf>
    <xf numFmtId="0" fontId="1" fillId="0" borderId="0" xfId="0" applyFont="1"/>
    <xf numFmtId="0" fontId="7" fillId="0" borderId="0" xfId="0" applyFont="1"/>
    <xf numFmtId="0" fontId="3" fillId="2" borderId="1" xfId="0" applyFont="1" applyFill="1" applyBorder="1" applyAlignment="1">
      <alignment horizontal="left" vertical="center" wrapText="1"/>
    </xf>
  </cellXfs>
  <cellStyles count="2">
    <cellStyle name="Moneda [0]" xfId="1" builtinId="7"/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28"/>
      <rgbColor rgb="FF800080"/>
      <rgbColor rgb="FF008080"/>
      <rgbColor rgb="FFD3BEA0"/>
      <rgbColor rgb="FF808080"/>
      <rgbColor rgb="FF9999FF"/>
      <rgbColor rgb="FF993366"/>
      <rgbColor rgb="FFFFF5E6"/>
      <rgbColor rgb="FFEE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FF0"/>
      <rgbColor rgb="FFCCFFCC"/>
      <rgbColor rgb="FFF7EFE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5A4B"/>
      <rgbColor rgb="FFB98738"/>
      <rgbColor rgb="FF003366"/>
      <rgbColor rgb="FF3F6B3F"/>
      <rgbColor rgb="FF003300"/>
      <rgbColor rgb="FF2D4A2D"/>
      <rgbColor rgb="FF993300"/>
      <rgbColor rgb="FF993366"/>
      <rgbColor rgb="FF333399"/>
      <rgbColor rgb="FF2B24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2D4A2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Comparativo financiero por modo de operación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2D4A2D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</c:f>
              <c:strCache>
                <c:ptCount val="1"/>
                <c:pt idx="0">
                  <c:v>Postura</c:v>
                </c:pt>
              </c:strCache>
            </c:strRef>
          </c:tx>
          <c:spPr>
            <a:solidFill>
              <a:srgbClr val="2D4A2D"/>
            </a:solidFill>
            <a:ln>
              <a:noFill/>
            </a:ln>
            <a:effectLst/>
          </c:spPr>
          <c:invertIfNegative val="0"/>
          <c:cat>
            <c:strRef>
              <c:f>Dashboard!$A$7:$A$10</c:f>
              <c:strCache>
                <c:ptCount val="4"/>
                <c:pt idx="0">
                  <c:v>Inversión inicial ($)</c:v>
                </c:pt>
                <c:pt idx="1">
                  <c:v>Ingreso total proyectado ($)</c:v>
                </c:pt>
                <c:pt idx="2">
                  <c:v>Costo operativo total ($)</c:v>
                </c:pt>
                <c:pt idx="3">
                  <c:v>Flujo acumulado final ($)</c:v>
                </c:pt>
              </c:strCache>
            </c:strRef>
          </c:cat>
          <c:val>
            <c:numRef>
              <c:f>Dashboard!$B$7:$B$10</c:f>
              <c:numCache>
                <c:formatCode>"$"#,##0;\("$"#,##0\);"-"</c:formatCode>
                <c:ptCount val="4"/>
                <c:pt idx="0">
                  <c:v>9631.6</c:v>
                </c:pt>
                <c:pt idx="1">
                  <c:v>28888.345861176942</c:v>
                </c:pt>
                <c:pt idx="2">
                  <c:v>19812.966364371383</c:v>
                </c:pt>
                <c:pt idx="3">
                  <c:v>-556.22050319443679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8-4514-86D4-B167B253E42D}"/>
            </c:ext>
          </c:extLst>
        </c:ser>
        <c:ser>
          <c:idx val="1"/>
          <c:order val="1"/>
          <c:tx>
            <c:strRef>
              <c:f>Dashboard!$C$6</c:f>
              <c:strCache>
                <c:ptCount val="1"/>
                <c:pt idx="0">
                  <c:v>Cría y Venta</c:v>
                </c:pt>
              </c:strCache>
            </c:strRef>
          </c:tx>
          <c:spPr>
            <a:solidFill>
              <a:srgbClr val="8B6F47"/>
            </a:solidFill>
            <a:ln>
              <a:noFill/>
            </a:ln>
            <a:effectLst/>
          </c:spPr>
          <c:invertIfNegative val="0"/>
          <c:cat>
            <c:strRef>
              <c:f>Dashboard!$A$7:$A$10</c:f>
              <c:strCache>
                <c:ptCount val="4"/>
                <c:pt idx="0">
                  <c:v>Inversión inicial ($)</c:v>
                </c:pt>
                <c:pt idx="1">
                  <c:v>Ingreso total proyectado ($)</c:v>
                </c:pt>
                <c:pt idx="2">
                  <c:v>Costo operativo total ($)</c:v>
                </c:pt>
                <c:pt idx="3">
                  <c:v>Flujo acumulado final ($)</c:v>
                </c:pt>
              </c:strCache>
            </c:strRef>
          </c:cat>
          <c:val>
            <c:numRef>
              <c:f>Dashboard!$C$7:$C$10</c:f>
              <c:numCache>
                <c:formatCode>"$"#,##0;\("$"#,##0\);"-"</c:formatCode>
                <c:ptCount val="4"/>
                <c:pt idx="0">
                  <c:v>3500</c:v>
                </c:pt>
                <c:pt idx="1">
                  <c:v>3088.1689516772117</c:v>
                </c:pt>
                <c:pt idx="2">
                  <c:v>1618.1008765103879</c:v>
                </c:pt>
                <c:pt idx="3">
                  <c:v>-2029.9319248331763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98-4514-86D4-B167B253E42D}"/>
            </c:ext>
          </c:extLst>
        </c:ser>
        <c:ser>
          <c:idx val="2"/>
          <c:order val="2"/>
          <c:tx>
            <c:strRef>
              <c:f>Dashboard!$D$6</c:f>
              <c:strCache>
                <c:ptCount val="1"/>
                <c:pt idx="0">
                  <c:v>Ciclo Completo</c:v>
                </c:pt>
              </c:strCache>
            </c:strRef>
          </c:tx>
          <c:spPr>
            <a:solidFill>
              <a:srgbClr val="E8B84B"/>
            </a:solidFill>
            <a:ln>
              <a:noFill/>
            </a:ln>
            <a:effectLst/>
          </c:spPr>
          <c:invertIfNegative val="0"/>
          <c:cat>
            <c:strRef>
              <c:f>Dashboard!$A$7:$A$10</c:f>
              <c:strCache>
                <c:ptCount val="4"/>
                <c:pt idx="0">
                  <c:v>Inversión inicial ($)</c:v>
                </c:pt>
                <c:pt idx="1">
                  <c:v>Ingreso total proyectado ($)</c:v>
                </c:pt>
                <c:pt idx="2">
                  <c:v>Costo operativo total ($)</c:v>
                </c:pt>
                <c:pt idx="3">
                  <c:v>Flujo acumulado final ($)</c:v>
                </c:pt>
              </c:strCache>
            </c:strRef>
          </c:cat>
          <c:val>
            <c:numRef>
              <c:f>Dashboard!$D$7:$D$10</c:f>
              <c:numCache>
                <c:formatCode>"$"#,##0;\("$"#,##0\);"-"</c:formatCode>
                <c:ptCount val="4"/>
                <c:pt idx="0">
                  <c:v>6981.6</c:v>
                </c:pt>
                <c:pt idx="1">
                  <c:v>27449.874693476784</c:v>
                </c:pt>
                <c:pt idx="2">
                  <c:v>20294.839632568066</c:v>
                </c:pt>
                <c:pt idx="3">
                  <c:v>173.43506090871051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98-4514-86D4-B167B253E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105728"/>
        <c:axId val="956590864"/>
      </c:barChart>
      <c:catAx>
        <c:axId val="93410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56590864"/>
        <c:crosses val="autoZero"/>
        <c:auto val="1"/>
        <c:lblAlgn val="ctr"/>
        <c:lblOffset val="100"/>
        <c:noMultiLvlLbl val="0"/>
      </c:catAx>
      <c:valAx>
        <c:axId val="95659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\(&quot;$&quot;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3410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19C4EC-1BCB-1A50-9B80-49DC6735E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673100</xdr:colOff>
      <xdr:row>8</xdr:row>
      <xdr:rowOff>95250</xdr:rowOff>
    </xdr:from>
    <xdr:to>
      <xdr:col>9</xdr:col>
      <xdr:colOff>622300</xdr:colOff>
      <xdr:row>11</xdr:row>
      <xdr:rowOff>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4289871-760D-452E-B394-5FFB5350B371}"/>
            </a:ext>
          </a:extLst>
        </xdr:cNvPr>
        <xdr:cNvSpPr/>
      </xdr:nvSpPr>
      <xdr:spPr>
        <a:xfrm>
          <a:off x="7239000" y="1924050"/>
          <a:ext cx="3860800" cy="1219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/>
            <a:t>Cambiar números</a:t>
          </a:r>
          <a:r>
            <a:rPr lang="es-CL" sz="1600" baseline="0"/>
            <a:t> azúles de los recuadros. Los demás provienen de fórmulas que no se editan.</a:t>
          </a:r>
          <a:endParaRPr lang="es-CL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8</xdr:row>
      <xdr:rowOff>0</xdr:rowOff>
    </xdr:from>
    <xdr:to>
      <xdr:col>6</xdr:col>
      <xdr:colOff>520700</xdr:colOff>
      <xdr:row>14</xdr:row>
      <xdr:rowOff>114300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1B86D065-8459-4177-AC8D-8F2F52C859E5}"/>
            </a:ext>
          </a:extLst>
        </xdr:cNvPr>
        <xdr:cNvSpPr/>
      </xdr:nvSpPr>
      <xdr:spPr>
        <a:xfrm>
          <a:off x="4902200" y="1377950"/>
          <a:ext cx="3860800" cy="1219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/>
            <a:t>Cambiar números</a:t>
          </a:r>
          <a:r>
            <a:rPr lang="es-CL" sz="1600" baseline="0"/>
            <a:t> azúles de los recuadros. Los demás provienen de fórmulas que no se editan.</a:t>
          </a:r>
          <a:endParaRPr lang="es-CL" sz="1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908050</xdr:colOff>
      <xdr:row>7</xdr:row>
      <xdr:rowOff>400050</xdr:rowOff>
    </xdr:from>
    <xdr:to>
      <xdr:col>9</xdr:col>
      <xdr:colOff>298450</xdr:colOff>
      <xdr:row>11</xdr:row>
      <xdr:rowOff>158750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3F888EF-936E-D066-F2B0-16ED12591F38}"/>
            </a:ext>
          </a:extLst>
        </xdr:cNvPr>
        <xdr:cNvSpPr/>
      </xdr:nvSpPr>
      <xdr:spPr>
        <a:xfrm>
          <a:off x="8032750" y="1593850"/>
          <a:ext cx="3860800" cy="1219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600"/>
            <a:t>Cambiar números</a:t>
          </a:r>
          <a:r>
            <a:rPr lang="es-CL" sz="1600" baseline="0"/>
            <a:t> azúles de los recuadros. Los demás provienen de fórmulas que no se editan.</a:t>
          </a:r>
          <a:endParaRPr lang="es-CL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64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636CC6-F5FF-4A29-824E-E7B7A9A60448}">
  <we:reference id="wa200010725" version="1.0.0.1" store="es-ES" storeType="OMEX"/>
  <we:alternateReferences>
    <we:reference id="wa200010725" version="1.0.0.1" store="wa200010725" storeType="OMEX"/>
  </we:alternateReferences>
  <we:properties>
    <we:property name="claude.fileId" value="&quot;08fb3228-5f4c-4f4e-8fc2-dadbdf356de0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0223D-6396-4F4F-859D-65C014AF91BF}">
  <sheetPr>
    <tabColor rgb="FFE8B84B"/>
  </sheetPr>
  <dimension ref="A1:H31"/>
  <sheetViews>
    <sheetView showGridLines="0" zoomScale="90" zoomScaleNormal="90" workbookViewId="0">
      <selection activeCell="A39" sqref="A39"/>
    </sheetView>
  </sheetViews>
  <sheetFormatPr baseColWidth="10" defaultRowHeight="14.5" x14ac:dyDescent="0.35"/>
  <cols>
    <col min="1" max="1" width="48.26953125" customWidth="1"/>
    <col min="2" max="2" width="153.54296875" bestFit="1" customWidth="1"/>
  </cols>
  <sheetData>
    <row r="1" spans="1:8" ht="26" customHeight="1" x14ac:dyDescent="0.5">
      <c r="A1" s="29" t="s">
        <v>180</v>
      </c>
      <c r="B1" s="30" t="s">
        <v>181</v>
      </c>
      <c r="C1" s="31"/>
      <c r="D1" s="31"/>
      <c r="E1" s="31"/>
      <c r="F1" s="31"/>
      <c r="G1" s="31"/>
      <c r="H1" s="31"/>
    </row>
    <row r="3" spans="1:8" ht="24" customHeight="1" x14ac:dyDescent="0.5">
      <c r="A3" s="32" t="s">
        <v>182</v>
      </c>
    </row>
    <row r="4" spans="1:8" x14ac:dyDescent="0.35">
      <c r="A4" s="33" t="s">
        <v>183</v>
      </c>
    </row>
    <row r="6" spans="1:8" ht="16.5" x14ac:dyDescent="0.35">
      <c r="A6" s="34" t="s">
        <v>184</v>
      </c>
      <c r="B6" s="35"/>
    </row>
    <row r="7" spans="1:8" ht="30" customHeight="1" x14ac:dyDescent="0.35">
      <c r="A7" s="41" t="s">
        <v>185</v>
      </c>
      <c r="B7" s="38" t="s">
        <v>186</v>
      </c>
    </row>
    <row r="8" spans="1:8" ht="30" customHeight="1" x14ac:dyDescent="0.35">
      <c r="A8" s="41" t="s">
        <v>179</v>
      </c>
      <c r="B8" s="38" t="s">
        <v>187</v>
      </c>
    </row>
    <row r="9" spans="1:8" ht="30" customHeight="1" x14ac:dyDescent="0.35">
      <c r="A9" s="41" t="s">
        <v>188</v>
      </c>
      <c r="B9" s="38" t="s">
        <v>189</v>
      </c>
    </row>
    <row r="10" spans="1:8" ht="30" customHeight="1" x14ac:dyDescent="0.35">
      <c r="A10" s="41" t="s">
        <v>190</v>
      </c>
      <c r="B10" s="38" t="s">
        <v>191</v>
      </c>
    </row>
    <row r="11" spans="1:8" ht="30" customHeight="1" x14ac:dyDescent="0.35">
      <c r="A11" s="41" t="s">
        <v>192</v>
      </c>
      <c r="B11" s="38" t="s">
        <v>193</v>
      </c>
    </row>
    <row r="12" spans="1:8" x14ac:dyDescent="0.35">
      <c r="A12" s="42"/>
      <c r="B12" s="39"/>
    </row>
    <row r="13" spans="1:8" ht="16.5" x14ac:dyDescent="0.35">
      <c r="A13" s="43" t="s">
        <v>194</v>
      </c>
      <c r="B13" s="40"/>
    </row>
    <row r="14" spans="1:8" ht="28" customHeight="1" x14ac:dyDescent="0.35">
      <c r="A14" s="41" t="s">
        <v>195</v>
      </c>
      <c r="B14" s="38" t="s">
        <v>196</v>
      </c>
    </row>
    <row r="15" spans="1:8" ht="28" customHeight="1" x14ac:dyDescent="0.35">
      <c r="A15" s="41" t="s">
        <v>197</v>
      </c>
      <c r="B15" s="38" t="s">
        <v>198</v>
      </c>
    </row>
    <row r="16" spans="1:8" ht="28" customHeight="1" x14ac:dyDescent="0.35">
      <c r="A16" s="41" t="s">
        <v>199</v>
      </c>
      <c r="B16" s="38" t="s">
        <v>200</v>
      </c>
    </row>
    <row r="17" spans="1:8" ht="28" customHeight="1" x14ac:dyDescent="0.35">
      <c r="A17" s="41" t="s">
        <v>201</v>
      </c>
      <c r="B17" s="38" t="s">
        <v>202</v>
      </c>
    </row>
    <row r="18" spans="1:8" ht="28" customHeight="1" x14ac:dyDescent="0.35">
      <c r="A18" s="41" t="s">
        <v>203</v>
      </c>
      <c r="B18" s="38" t="s">
        <v>204</v>
      </c>
    </row>
    <row r="19" spans="1:8" x14ac:dyDescent="0.35">
      <c r="A19" s="42"/>
      <c r="B19" s="39"/>
    </row>
    <row r="20" spans="1:8" ht="16.5" x14ac:dyDescent="0.35">
      <c r="A20" s="43" t="s">
        <v>205</v>
      </c>
      <c r="B20" s="40"/>
    </row>
    <row r="21" spans="1:8" ht="24" customHeight="1" x14ac:dyDescent="0.35">
      <c r="A21" s="44" t="s">
        <v>206</v>
      </c>
      <c r="B21" s="38" t="s">
        <v>207</v>
      </c>
    </row>
    <row r="22" spans="1:8" ht="24" customHeight="1" x14ac:dyDescent="0.35">
      <c r="A22" s="45" t="s">
        <v>208</v>
      </c>
      <c r="B22" s="38" t="s">
        <v>209</v>
      </c>
    </row>
    <row r="23" spans="1:8" ht="24" customHeight="1" x14ac:dyDescent="0.35">
      <c r="A23" s="46" t="s">
        <v>210</v>
      </c>
      <c r="B23" s="38" t="s">
        <v>211</v>
      </c>
    </row>
    <row r="24" spans="1:8" ht="24" customHeight="1" x14ac:dyDescent="0.35">
      <c r="A24" s="47" t="s">
        <v>212</v>
      </c>
      <c r="B24" s="38" t="s">
        <v>213</v>
      </c>
    </row>
    <row r="25" spans="1:8" x14ac:dyDescent="0.35">
      <c r="A25" s="42"/>
      <c r="B25" s="39"/>
    </row>
    <row r="26" spans="1:8" ht="16.5" x14ac:dyDescent="0.35">
      <c r="A26" s="43" t="s">
        <v>214</v>
      </c>
      <c r="B26" s="40"/>
    </row>
    <row r="27" spans="1:8" ht="20" customHeight="1" x14ac:dyDescent="0.35">
      <c r="A27" s="48" t="s">
        <v>215</v>
      </c>
      <c r="B27" s="38" t="s">
        <v>216</v>
      </c>
    </row>
    <row r="28" spans="1:8" ht="20" customHeight="1" x14ac:dyDescent="0.35">
      <c r="A28" s="48" t="s">
        <v>215</v>
      </c>
      <c r="B28" s="38" t="s">
        <v>217</v>
      </c>
    </row>
    <row r="29" spans="1:8" ht="20" customHeight="1" x14ac:dyDescent="0.35">
      <c r="A29" s="48" t="s">
        <v>215</v>
      </c>
      <c r="B29" s="38" t="s">
        <v>218</v>
      </c>
    </row>
    <row r="31" spans="1:8" ht="20" customHeight="1" x14ac:dyDescent="0.35">
      <c r="A31" s="36" t="s">
        <v>180</v>
      </c>
      <c r="B31" s="37" t="s">
        <v>219</v>
      </c>
      <c r="C31" s="31"/>
      <c r="D31" s="31"/>
      <c r="E31" s="31"/>
      <c r="F31" s="31"/>
      <c r="G31" s="31"/>
      <c r="H31" s="31"/>
    </row>
  </sheetData>
  <sheetProtection algorithmName="SHA-512" hashValue="7pl88NZyFmUDCWud4QQBnqHV43xgbdIjsZwEd05rRyGhN5zOHwCPIqOd8DdgPrcbszmr1mlruS+hwq3JMmVBcw==" saltValue="TmEgQjb8Ph/csWyvt3YGFA==" spinCount="100000" sheet="1" objects="1" scenarios="1" select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EF03A-184F-4E45-B266-A168B44F43C1}">
  <sheetPr>
    <tabColor rgb="FF3F6B3F"/>
  </sheetPr>
  <dimension ref="A1:D12"/>
  <sheetViews>
    <sheetView showGridLines="0" workbookViewId="0">
      <selection activeCell="C3" sqref="C3"/>
    </sheetView>
  </sheetViews>
  <sheetFormatPr baseColWidth="10" defaultRowHeight="14.5" x14ac:dyDescent="0.35"/>
  <cols>
    <col min="1" max="1" width="40" customWidth="1"/>
    <col min="2" max="4" width="23.6328125" customWidth="1"/>
  </cols>
  <sheetData>
    <row r="1" spans="1:4" ht="25" x14ac:dyDescent="0.5">
      <c r="A1" s="29" t="s">
        <v>180</v>
      </c>
      <c r="B1" s="31"/>
      <c r="C1" s="30" t="s">
        <v>220</v>
      </c>
      <c r="D1" s="31"/>
    </row>
    <row r="3" spans="1:4" ht="20" x14ac:dyDescent="0.4">
      <c r="A3" s="18" t="s">
        <v>221</v>
      </c>
    </row>
    <row r="4" spans="1:4" x14ac:dyDescent="0.35">
      <c r="A4" s="49" t="s">
        <v>222</v>
      </c>
    </row>
    <row r="6" spans="1:4" x14ac:dyDescent="0.35">
      <c r="A6" s="50" t="s">
        <v>223</v>
      </c>
      <c r="B6" s="51" t="s">
        <v>179</v>
      </c>
      <c r="C6" s="51" t="s">
        <v>188</v>
      </c>
      <c r="D6" s="51" t="s">
        <v>190</v>
      </c>
    </row>
    <row r="7" spans="1:4" x14ac:dyDescent="0.35">
      <c r="A7" s="52" t="s">
        <v>224</v>
      </c>
      <c r="B7" s="53">
        <f>Postura!B37</f>
        <v>9631.6</v>
      </c>
      <c r="C7" s="53">
        <f>'Cría y Venta'!B26</f>
        <v>3500</v>
      </c>
      <c r="D7" s="53">
        <f>'Ciclo Completo'!B35</f>
        <v>6981.6</v>
      </c>
    </row>
    <row r="8" spans="1:4" x14ac:dyDescent="0.35">
      <c r="A8" s="52" t="s">
        <v>225</v>
      </c>
      <c r="B8" s="53">
        <f>SUM(Postura!E43:E66)</f>
        <v>28888.345861176942</v>
      </c>
      <c r="C8" s="53">
        <f>'Cría y Venta'!B40</f>
        <v>3088.1689516772117</v>
      </c>
      <c r="D8" s="53">
        <f>SUM('Ciclo Completo'!F45:F68)</f>
        <v>27449.874693476784</v>
      </c>
    </row>
    <row r="9" spans="1:4" x14ac:dyDescent="0.35">
      <c r="A9" s="52" t="s">
        <v>226</v>
      </c>
      <c r="B9" s="53">
        <f>SUM(Postura!J43:J66)</f>
        <v>19812.966364371383</v>
      </c>
      <c r="C9" s="53">
        <f>SUM('Cría y Venta'!E31:F36)</f>
        <v>1618.1008765103879</v>
      </c>
      <c r="D9" s="53">
        <f>SUM('Ciclo Completo'!G41:G68)</f>
        <v>20294.839632568066</v>
      </c>
    </row>
    <row r="10" spans="1:4" x14ac:dyDescent="0.35">
      <c r="A10" s="54" t="s">
        <v>227</v>
      </c>
      <c r="B10" s="55">
        <f>Postura!L66</f>
        <v>-556.22050319443679</v>
      </c>
      <c r="C10" s="55">
        <f>'Cría y Venta'!I36</f>
        <v>-2029.9319248331763</v>
      </c>
      <c r="D10" s="55">
        <f>'Ciclo Completo'!I68</f>
        <v>173.43506090871051</v>
      </c>
    </row>
    <row r="11" spans="1:4" x14ac:dyDescent="0.35">
      <c r="A11" s="52" t="s">
        <v>228</v>
      </c>
      <c r="B11" s="56">
        <f>B10/B7</f>
        <v>-5.7749543502059547E-2</v>
      </c>
      <c r="C11" s="56">
        <f>C10/C7</f>
        <v>-0.57998054995233606</v>
      </c>
      <c r="D11" s="56">
        <f>D10/D7</f>
        <v>2.4841735548973086E-2</v>
      </c>
    </row>
    <row r="12" spans="1:4" x14ac:dyDescent="0.35">
      <c r="A12" s="52" t="s">
        <v>229</v>
      </c>
      <c r="B12" s="57" t="str" cm="1">
        <f t="array" ref="B12">IFERROR("Mes "&amp;INDEX(Postura!A43:A66,MATCH(TRUE,Postura!L43:L66&gt;=0,0)),"Fuera del periodo")</f>
        <v>Mes 19</v>
      </c>
      <c r="C12" s="57" t="str" cm="1">
        <f t="array" ref="C12">IFERROR("Sem "&amp;INDEX('Cría y Venta'!B31:B36,MATCH(TRUE,'Cría y Venta'!I31:I36&gt;=0,0)),"Fuera del periodo")</f>
        <v>Fuera del periodo</v>
      </c>
      <c r="D12" s="57" t="str" cm="1">
        <f t="array" ref="D12">IFERROR("Mes "&amp;INDEX('Ciclo Completo'!A41:A68,MATCH(TRUE,'Ciclo Completo'!I41:I68&gt;=0,0)),"Fuera del periodo")</f>
        <v>Mes 19</v>
      </c>
    </row>
  </sheetData>
  <sheetProtection sheet="1" objects="1" scenarios="1" formatRows="0" selectLockedCells="1"/>
  <conditionalFormatting sqref="B10:D11">
    <cfRule type="cellIs" dxfId="7" priority="1" operator="greaterThanOrEqual">
      <formula>0</formula>
    </cfRule>
    <cfRule type="cellIs" dxfId="6" priority="2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4A2D"/>
  </sheetPr>
  <dimension ref="A1:L66"/>
  <sheetViews>
    <sheetView zoomScaleNormal="100" workbookViewId="0">
      <pane ySplit="3" topLeftCell="A20" activePane="bottomLeft" state="frozen"/>
      <selection pane="bottomLeft" activeCell="E8" sqref="E8"/>
    </sheetView>
  </sheetViews>
  <sheetFormatPr baseColWidth="10" defaultColWidth="8.6328125" defaultRowHeight="14.5" x14ac:dyDescent="0.35"/>
  <cols>
    <col min="1" max="1" width="38" customWidth="1"/>
    <col min="2" max="2" width="16" customWidth="1"/>
    <col min="3" max="3" width="12" customWidth="1"/>
    <col min="4" max="12" width="14" customWidth="1"/>
  </cols>
  <sheetData>
    <row r="1" spans="1:12" ht="22" customHeight="1" x14ac:dyDescent="0.4">
      <c r="A1" s="60" t="s">
        <v>180</v>
      </c>
      <c r="B1" s="31"/>
      <c r="C1" s="31"/>
      <c r="D1" s="31"/>
      <c r="E1" s="31"/>
      <c r="F1" s="31"/>
      <c r="G1" s="37" t="s">
        <v>230</v>
      </c>
      <c r="H1" s="31"/>
      <c r="I1" s="31"/>
      <c r="J1" s="31"/>
      <c r="K1" s="31"/>
      <c r="L1" s="31"/>
    </row>
    <row r="2" spans="1:12" ht="20" x14ac:dyDescent="0.4">
      <c r="A2" s="62" t="s">
        <v>79</v>
      </c>
      <c r="B2" s="62"/>
      <c r="C2" s="62"/>
      <c r="D2" s="62"/>
      <c r="E2" s="62"/>
      <c r="F2" s="62"/>
      <c r="G2" s="62"/>
      <c r="H2" s="62"/>
    </row>
    <row r="3" spans="1:12" x14ac:dyDescent="0.35">
      <c r="A3" s="63" t="s">
        <v>80</v>
      </c>
      <c r="B3" s="63"/>
      <c r="C3" s="63"/>
      <c r="D3" s="63"/>
      <c r="E3" s="63"/>
      <c r="F3" s="63"/>
      <c r="G3" s="63"/>
      <c r="H3" s="63"/>
    </row>
    <row r="5" spans="1:12" ht="15.5" x14ac:dyDescent="0.35">
      <c r="A5" s="2" t="s">
        <v>81</v>
      </c>
      <c r="D5" s="2" t="s">
        <v>82</v>
      </c>
    </row>
    <row r="6" spans="1:12" ht="22.4" customHeight="1" x14ac:dyDescent="0.35">
      <c r="A6" s="1" t="s">
        <v>83</v>
      </c>
      <c r="B6" s="19">
        <v>500</v>
      </c>
      <c r="D6" s="64" t="s">
        <v>84</v>
      </c>
      <c r="E6" s="64"/>
      <c r="F6" s="64"/>
      <c r="G6" s="64"/>
    </row>
    <row r="7" spans="1:12" ht="23" x14ac:dyDescent="0.35">
      <c r="A7" s="1" t="s">
        <v>85</v>
      </c>
      <c r="B7" s="21">
        <v>6.5</v>
      </c>
      <c r="D7" s="1" t="s">
        <v>86</v>
      </c>
      <c r="E7" s="19">
        <v>1</v>
      </c>
    </row>
    <row r="8" spans="1:12" ht="34.5" x14ac:dyDescent="0.35">
      <c r="A8" s="1" t="s">
        <v>87</v>
      </c>
      <c r="B8" s="21">
        <v>0.12</v>
      </c>
      <c r="D8" s="1" t="s">
        <v>88</v>
      </c>
      <c r="E8" s="19">
        <v>1</v>
      </c>
    </row>
    <row r="9" spans="1:12" ht="34.5" x14ac:dyDescent="0.35">
      <c r="A9" s="1" t="s">
        <v>89</v>
      </c>
      <c r="B9" s="23">
        <v>0.5</v>
      </c>
      <c r="D9" s="1" t="s">
        <v>90</v>
      </c>
      <c r="E9" s="19">
        <v>1</v>
      </c>
    </row>
    <row r="10" spans="1:12" ht="46" x14ac:dyDescent="0.35">
      <c r="A10" s="1" t="s">
        <v>91</v>
      </c>
      <c r="B10" s="23">
        <v>80</v>
      </c>
      <c r="D10" s="1" t="s">
        <v>92</v>
      </c>
      <c r="E10" s="19">
        <v>1</v>
      </c>
    </row>
    <row r="11" spans="1:12" ht="23" x14ac:dyDescent="0.35">
      <c r="A11" s="1" t="s">
        <v>93</v>
      </c>
      <c r="B11" s="23">
        <v>500</v>
      </c>
      <c r="D11" s="1" t="s">
        <v>94</v>
      </c>
      <c r="E11" s="21">
        <v>18</v>
      </c>
    </row>
    <row r="12" spans="1:12" ht="23" x14ac:dyDescent="0.35">
      <c r="A12" s="1" t="s">
        <v>95</v>
      </c>
      <c r="B12" s="19">
        <v>120</v>
      </c>
      <c r="D12" s="1" t="s">
        <v>96</v>
      </c>
      <c r="E12" s="21">
        <v>1.2</v>
      </c>
    </row>
    <row r="13" spans="1:12" ht="23" x14ac:dyDescent="0.35">
      <c r="A13" s="1" t="s">
        <v>97</v>
      </c>
      <c r="B13" s="21">
        <v>0</v>
      </c>
      <c r="D13" s="1" t="s">
        <v>98</v>
      </c>
      <c r="E13" s="21">
        <v>15</v>
      </c>
    </row>
    <row r="14" spans="1:12" x14ac:dyDescent="0.35">
      <c r="A14" s="1" t="s">
        <v>99</v>
      </c>
      <c r="B14" s="21">
        <v>0</v>
      </c>
    </row>
    <row r="15" spans="1:12" x14ac:dyDescent="0.35">
      <c r="A15" s="1" t="s">
        <v>100</v>
      </c>
      <c r="B15" s="20">
        <v>0</v>
      </c>
    </row>
    <row r="16" spans="1:12" x14ac:dyDescent="0.35">
      <c r="A16" s="1" t="s">
        <v>101</v>
      </c>
      <c r="B16" s="19">
        <v>24</v>
      </c>
    </row>
    <row r="17" spans="1:2" x14ac:dyDescent="0.35">
      <c r="A17" s="63" t="s">
        <v>102</v>
      </c>
      <c r="B17" s="63"/>
    </row>
    <row r="19" spans="1:2" ht="15.5" x14ac:dyDescent="0.35">
      <c r="A19" s="2" t="s">
        <v>103</v>
      </c>
    </row>
    <row r="20" spans="1:2" x14ac:dyDescent="0.35">
      <c r="A20" s="1" t="s">
        <v>104</v>
      </c>
      <c r="B20" s="5">
        <f>INDEX('Datos Técnicos'!D12:D15,E7)</f>
        <v>115</v>
      </c>
    </row>
    <row r="21" spans="1:2" x14ac:dyDescent="0.35">
      <c r="A21" s="1" t="s">
        <v>105</v>
      </c>
      <c r="B21" s="6">
        <f>INDEX('Datos Técnicos'!E12:E15,E7)</f>
        <v>1.8</v>
      </c>
    </row>
    <row r="22" spans="1:2" x14ac:dyDescent="0.35">
      <c r="A22" s="1" t="s">
        <v>106</v>
      </c>
      <c r="B22" s="7">
        <f>IF(E8=1,INDEX('Datos Técnicos'!F12:F15,E7),IF(E8=2,INDEX('Datos Técnicos'!G12:G15,E7),INDEX('Datos Técnicos'!H12:H15,E7)))</f>
        <v>0.1</v>
      </c>
    </row>
    <row r="23" spans="1:2" x14ac:dyDescent="0.35">
      <c r="A23" s="1" t="s">
        <v>107</v>
      </c>
      <c r="B23" s="8">
        <f>B6*B22</f>
        <v>50</v>
      </c>
    </row>
    <row r="24" spans="1:2" x14ac:dyDescent="0.35">
      <c r="A24" s="1" t="s">
        <v>108</v>
      </c>
      <c r="B24" s="8">
        <f>B6*B20/1000</f>
        <v>57.5</v>
      </c>
    </row>
    <row r="25" spans="1:2" x14ac:dyDescent="0.35">
      <c r="A25" s="1" t="s">
        <v>109</v>
      </c>
      <c r="B25" s="5">
        <f>B24*'Datos Técnicos'!B5</f>
        <v>1748</v>
      </c>
    </row>
    <row r="26" spans="1:2" x14ac:dyDescent="0.35">
      <c r="A26" s="1" t="s">
        <v>110</v>
      </c>
      <c r="B26" s="8">
        <f>B24*B21</f>
        <v>103.5</v>
      </c>
    </row>
    <row r="27" spans="1:2" x14ac:dyDescent="0.35">
      <c r="A27" s="1" t="s">
        <v>111</v>
      </c>
      <c r="B27" s="8">
        <f>IF(E9=1,CEILING(B6/INDEX('Datos Técnicos'!K12:K15,E7),1),CEILING(B6*INDEX('Datos Técnicos'!J12:J15,E7)/100,1))</f>
        <v>17</v>
      </c>
    </row>
    <row r="28" spans="1:2" x14ac:dyDescent="0.35">
      <c r="A28" s="1" t="s">
        <v>112</v>
      </c>
      <c r="B28" s="8">
        <f>IF(E10=1,CEILING(B6/INDEX('Datos Técnicos'!L12:L15,E7),1),IF(E10=2,CEILING(B6/INDEX('Datos Técnicos'!M12:M15,E7),1),CEILING(B6*INDEX('Datos Técnicos'!N12:N15,E7)/100,1)))</f>
        <v>63</v>
      </c>
    </row>
    <row r="29" spans="1:2" x14ac:dyDescent="0.35">
      <c r="A29" s="1" t="s">
        <v>113</v>
      </c>
      <c r="B29" s="5">
        <f>CEILING(B6/INDEX('Datos Técnicos'!O12:O15,E7),1)</f>
        <v>100</v>
      </c>
    </row>
    <row r="31" spans="1:2" ht="15.5" x14ac:dyDescent="0.35">
      <c r="A31" s="2" t="s">
        <v>114</v>
      </c>
    </row>
    <row r="32" spans="1:2" x14ac:dyDescent="0.35">
      <c r="A32" s="1" t="s">
        <v>115</v>
      </c>
      <c r="B32" s="9">
        <f>B6*B7</f>
        <v>3250</v>
      </c>
    </row>
    <row r="33" spans="1:12" x14ac:dyDescent="0.35">
      <c r="A33" s="1" t="s">
        <v>116</v>
      </c>
      <c r="B33" s="9">
        <f>B23*B10+B11</f>
        <v>4500</v>
      </c>
    </row>
    <row r="34" spans="1:12" x14ac:dyDescent="0.35">
      <c r="A34" s="1" t="s">
        <v>117</v>
      </c>
      <c r="B34" s="9">
        <f>B27*E11</f>
        <v>306</v>
      </c>
    </row>
    <row r="35" spans="1:12" x14ac:dyDescent="0.35">
      <c r="A35" s="1" t="s">
        <v>118</v>
      </c>
      <c r="B35" s="9">
        <f>B28*E12</f>
        <v>75.599999999999994</v>
      </c>
    </row>
    <row r="36" spans="1:12" x14ac:dyDescent="0.35">
      <c r="A36" s="1" t="s">
        <v>119</v>
      </c>
      <c r="B36" s="9">
        <f>B29*E13</f>
        <v>1500</v>
      </c>
    </row>
    <row r="37" spans="1:12" x14ac:dyDescent="0.35">
      <c r="A37" s="1" t="s">
        <v>120</v>
      </c>
      <c r="B37" s="28">
        <f>SUM(B32:B36)</f>
        <v>9631.6</v>
      </c>
    </row>
    <row r="38" spans="1:12" x14ac:dyDescent="0.35">
      <c r="A38" s="1" t="s">
        <v>121</v>
      </c>
      <c r="B38" s="28">
        <f>B33/B12</f>
        <v>37.5</v>
      </c>
    </row>
    <row r="40" spans="1:12" ht="15.5" x14ac:dyDescent="0.35">
      <c r="A40" s="2" t="s">
        <v>122</v>
      </c>
    </row>
    <row r="41" spans="1:12" x14ac:dyDescent="0.35">
      <c r="A41" s="63" t="s">
        <v>123</v>
      </c>
      <c r="B41" s="63"/>
      <c r="C41" s="63"/>
      <c r="D41" s="63"/>
      <c r="E41" s="63"/>
      <c r="F41" s="63"/>
      <c r="G41" s="63"/>
      <c r="H41" s="63"/>
    </row>
    <row r="42" spans="1:12" x14ac:dyDescent="0.35">
      <c r="A42" s="3" t="s">
        <v>124</v>
      </c>
      <c r="B42" s="3" t="s">
        <v>125</v>
      </c>
      <c r="C42" s="3" t="s">
        <v>126</v>
      </c>
      <c r="D42" s="3" t="s">
        <v>127</v>
      </c>
      <c r="E42" s="3" t="s">
        <v>128</v>
      </c>
      <c r="F42" s="3" t="s">
        <v>129</v>
      </c>
      <c r="G42" s="3" t="s">
        <v>130</v>
      </c>
      <c r="H42" s="3" t="s">
        <v>131</v>
      </c>
      <c r="I42" s="3" t="s">
        <v>132</v>
      </c>
      <c r="J42" s="3" t="s">
        <v>133</v>
      </c>
      <c r="K42" s="3" t="s">
        <v>134</v>
      </c>
      <c r="L42" s="3" t="s">
        <v>135</v>
      </c>
    </row>
    <row r="43" spans="1:12" x14ac:dyDescent="0.35">
      <c r="A43" s="9">
        <v>1</v>
      </c>
      <c r="B43" s="9">
        <f>B6</f>
        <v>500</v>
      </c>
      <c r="C43" s="11">
        <f>INDEX('Datos Técnicos'!B20:Y23,E7,1)/100</f>
        <v>0.62</v>
      </c>
      <c r="D43" s="9">
        <f>B43*C43*'Datos Técnicos'!B5</f>
        <v>9424</v>
      </c>
      <c r="E43" s="12">
        <f>D43*B8</f>
        <v>1130.8799999999999</v>
      </c>
      <c r="F43" s="9">
        <f>B43*B20/1000*'Datos Técnicos'!B5</f>
        <v>1748</v>
      </c>
      <c r="G43" s="12">
        <f>F43*B9</f>
        <v>874</v>
      </c>
      <c r="H43" s="12">
        <f>B13+B14</f>
        <v>0</v>
      </c>
      <c r="I43" s="12">
        <v>0</v>
      </c>
      <c r="J43" s="12">
        <f t="shared" ref="J43:J66" si="0">G43+H43+I43</f>
        <v>874</v>
      </c>
      <c r="K43" s="12">
        <f t="shared" ref="K43:K66" si="1">E43-J43</f>
        <v>256.87999999999988</v>
      </c>
      <c r="L43" s="12">
        <f>-B37+K43</f>
        <v>-9374.7200000000012</v>
      </c>
    </row>
    <row r="44" spans="1:12" x14ac:dyDescent="0.35">
      <c r="A44" s="9">
        <v>2</v>
      </c>
      <c r="B44" s="9">
        <f>B6*(1-'Datos Técnicos'!B6)^1</f>
        <v>497.5</v>
      </c>
      <c r="C44" s="11">
        <f>INDEX('Datos Técnicos'!B20:Y23,E7,2)/100</f>
        <v>0.92</v>
      </c>
      <c r="D44" s="9">
        <f>B44*C44*'Datos Técnicos'!B5</f>
        <v>13914.08</v>
      </c>
      <c r="E44" s="12">
        <f>D44*B8</f>
        <v>1669.6895999999999</v>
      </c>
      <c r="F44" s="9">
        <f>B44*B20/1000*'Datos Técnicos'!B5</f>
        <v>1739.2599999999998</v>
      </c>
      <c r="G44" s="12">
        <f>F44*B9</f>
        <v>869.62999999999988</v>
      </c>
      <c r="H44" s="12">
        <f>B13+B14</f>
        <v>0</v>
      </c>
      <c r="I44" s="12">
        <f>IF(B15&gt;0,B6*B15*B7,0)</f>
        <v>0</v>
      </c>
      <c r="J44" s="12">
        <f t="shared" si="0"/>
        <v>869.62999999999988</v>
      </c>
      <c r="K44" s="12">
        <f t="shared" si="1"/>
        <v>800.05960000000005</v>
      </c>
      <c r="L44" s="12">
        <f t="shared" ref="L44:L66" si="2">L43+K44</f>
        <v>-8574.6604000000007</v>
      </c>
    </row>
    <row r="45" spans="1:12" x14ac:dyDescent="0.35">
      <c r="A45" s="9">
        <v>3</v>
      </c>
      <c r="B45" s="9">
        <f>B6*(1-'Datos Técnicos'!B6)^2</f>
        <v>495.01250000000005</v>
      </c>
      <c r="C45" s="11">
        <f>INDEX('Datos Técnicos'!B20:Y23,E7,3)/100</f>
        <v>0.95</v>
      </c>
      <c r="D45" s="9">
        <f>B45*C45*'Datos Técnicos'!B5</f>
        <v>14295.961000000001</v>
      </c>
      <c r="E45" s="12">
        <f>D45*B8</f>
        <v>1715.51532</v>
      </c>
      <c r="F45" s="9">
        <f>B45*B20/1000*'Datos Técnicos'!B5</f>
        <v>1730.5637000000002</v>
      </c>
      <c r="G45" s="12">
        <f>F45*B9</f>
        <v>865.28185000000008</v>
      </c>
      <c r="H45" s="12">
        <f>B13+B14</f>
        <v>0</v>
      </c>
      <c r="I45" s="12">
        <f>IF(B15&gt;0,B6*B15*B7,0)</f>
        <v>0</v>
      </c>
      <c r="J45" s="12">
        <f t="shared" si="0"/>
        <v>865.28185000000008</v>
      </c>
      <c r="K45" s="12">
        <f t="shared" si="1"/>
        <v>850.2334699999999</v>
      </c>
      <c r="L45" s="12">
        <f t="shared" si="2"/>
        <v>-7724.4269300000005</v>
      </c>
    </row>
    <row r="46" spans="1:12" x14ac:dyDescent="0.35">
      <c r="A46" s="9">
        <v>4</v>
      </c>
      <c r="B46" s="9">
        <f>B6*(1-'Datos Técnicos'!B6)^3</f>
        <v>492.53743750000001</v>
      </c>
      <c r="C46" s="11">
        <f>INDEX('Datos Técnicos'!B20:Y23,E7,4)/100</f>
        <v>0.95</v>
      </c>
      <c r="D46" s="9">
        <f>B46*C46*'Datos Técnicos'!B5</f>
        <v>14224.481195</v>
      </c>
      <c r="E46" s="12">
        <f>D46*B8</f>
        <v>1706.9377434</v>
      </c>
      <c r="F46" s="9">
        <f>B46*B20/1000*'Datos Técnicos'!B5</f>
        <v>1721.9108814999997</v>
      </c>
      <c r="G46" s="12">
        <f>F46*B9</f>
        <v>860.95544074999987</v>
      </c>
      <c r="H46" s="12">
        <f>B13+B14</f>
        <v>0</v>
      </c>
      <c r="I46" s="12">
        <f>IF(B15&gt;0,B6*B15*B7,0)</f>
        <v>0</v>
      </c>
      <c r="J46" s="12">
        <f t="shared" si="0"/>
        <v>860.95544074999987</v>
      </c>
      <c r="K46" s="12">
        <f t="shared" si="1"/>
        <v>845.98230265000018</v>
      </c>
      <c r="L46" s="12">
        <f t="shared" si="2"/>
        <v>-6878.4446273500007</v>
      </c>
    </row>
    <row r="47" spans="1:12" x14ac:dyDescent="0.35">
      <c r="A47" s="9">
        <v>5</v>
      </c>
      <c r="B47" s="9">
        <f>B6*(1-'Datos Técnicos'!B6)^4</f>
        <v>490.07475031250004</v>
      </c>
      <c r="C47" s="11">
        <f>INDEX('Datos Técnicos'!B20:Y23,E7,5)/100</f>
        <v>0.94</v>
      </c>
      <c r="D47" s="9">
        <f>B47*C47*'Datos Técnicos'!B5</f>
        <v>14004.376064929998</v>
      </c>
      <c r="E47" s="12">
        <f>D47*B8</f>
        <v>1680.5251277915997</v>
      </c>
      <c r="F47" s="9">
        <f>B47*B20/1000*'Datos Técnicos'!B5</f>
        <v>1713.3013270925003</v>
      </c>
      <c r="G47" s="12">
        <f>F47*B9</f>
        <v>856.65066354625014</v>
      </c>
      <c r="H47" s="12">
        <f>B13+B14</f>
        <v>0</v>
      </c>
      <c r="I47" s="12">
        <f>IF(B15&gt;0,B6*B15*B7,0)</f>
        <v>0</v>
      </c>
      <c r="J47" s="12">
        <f t="shared" si="0"/>
        <v>856.65066354625014</v>
      </c>
      <c r="K47" s="12">
        <f t="shared" si="1"/>
        <v>823.8744642453496</v>
      </c>
      <c r="L47" s="12">
        <f t="shared" si="2"/>
        <v>-6054.5701631046513</v>
      </c>
    </row>
    <row r="48" spans="1:12" x14ac:dyDescent="0.35">
      <c r="A48" s="9">
        <v>6</v>
      </c>
      <c r="B48" s="9">
        <f>B6*(1-'Datos Técnicos'!B6)^5</f>
        <v>487.62437656093755</v>
      </c>
      <c r="C48" s="11">
        <f>INDEX('Datos Técnicos'!B20:Y23,E7,6)/100</f>
        <v>0.93</v>
      </c>
      <c r="D48" s="9">
        <f>B48*C48*'Datos Técnicos'!B5</f>
        <v>13786.116374130826</v>
      </c>
      <c r="E48" s="12">
        <f>D48*B8</f>
        <v>1654.3339648956992</v>
      </c>
      <c r="F48" s="9">
        <f>B48*B20/1000*'Datos Técnicos'!B5</f>
        <v>1704.7348204570376</v>
      </c>
      <c r="G48" s="12">
        <f>F48*B9</f>
        <v>852.36741022851879</v>
      </c>
      <c r="H48" s="12">
        <f>B13+B14</f>
        <v>0</v>
      </c>
      <c r="I48" s="12">
        <f>IF(B15&gt;0,B6*B15*B7,0)</f>
        <v>0</v>
      </c>
      <c r="J48" s="12">
        <f t="shared" si="0"/>
        <v>852.36741022851879</v>
      </c>
      <c r="K48" s="12">
        <f t="shared" si="1"/>
        <v>801.96655466718039</v>
      </c>
      <c r="L48" s="12">
        <f t="shared" si="2"/>
        <v>-5252.6036084374709</v>
      </c>
    </row>
    <row r="49" spans="1:12" x14ac:dyDescent="0.35">
      <c r="A49" s="9">
        <v>7</v>
      </c>
      <c r="B49" s="9">
        <f>B6*(1-'Datos Técnicos'!B6)^6</f>
        <v>485.18625467813285</v>
      </c>
      <c r="C49" s="11">
        <f>INDEX('Datos Técnicos'!B20:Y23,E7,7)/100</f>
        <v>0.91</v>
      </c>
      <c r="D49" s="9">
        <f>B49*C49*'Datos Técnicos'!B5</f>
        <v>13422.192549415868</v>
      </c>
      <c r="E49" s="12">
        <f>D49*B8</f>
        <v>1610.6631059299041</v>
      </c>
      <c r="F49" s="9">
        <f>B49*B20/1000*'Datos Técnicos'!B5</f>
        <v>1696.2111463547524</v>
      </c>
      <c r="G49" s="12">
        <f>F49*B9</f>
        <v>848.10557317737619</v>
      </c>
      <c r="H49" s="12">
        <f>B13+B14</f>
        <v>0</v>
      </c>
      <c r="I49" s="12">
        <f>IF(B15&gt;0,B6*B15*B7,0)</f>
        <v>0</v>
      </c>
      <c r="J49" s="12">
        <f t="shared" si="0"/>
        <v>848.10557317737619</v>
      </c>
      <c r="K49" s="12">
        <f t="shared" si="1"/>
        <v>762.55753275252789</v>
      </c>
      <c r="L49" s="12">
        <f t="shared" si="2"/>
        <v>-4490.0460756849434</v>
      </c>
    </row>
    <row r="50" spans="1:12" x14ac:dyDescent="0.35">
      <c r="A50" s="9">
        <v>8</v>
      </c>
      <c r="B50" s="9">
        <f>B6*(1-'Datos Técnicos'!B6)^7</f>
        <v>482.76032340474217</v>
      </c>
      <c r="C50" s="11">
        <f>INDEX('Datos Técnicos'!B20:Y23,E7,8)/100</f>
        <v>0.89</v>
      </c>
      <c r="D50" s="9">
        <f>B50*C50*'Datos Técnicos'!B5</f>
        <v>13061.563310038704</v>
      </c>
      <c r="E50" s="12">
        <f>D50*B8</f>
        <v>1567.3875972046444</v>
      </c>
      <c r="F50" s="9">
        <f>B50*B20/1000*'Datos Técnicos'!B5</f>
        <v>1687.7300906229787</v>
      </c>
      <c r="G50" s="12">
        <f>F50*B9</f>
        <v>843.86504531148933</v>
      </c>
      <c r="H50" s="12">
        <f>B13+B14</f>
        <v>0</v>
      </c>
      <c r="I50" s="12">
        <f>IF(B15&gt;0,B6*B15*B7,0)</f>
        <v>0</v>
      </c>
      <c r="J50" s="12">
        <f t="shared" si="0"/>
        <v>843.86504531148933</v>
      </c>
      <c r="K50" s="12">
        <f t="shared" si="1"/>
        <v>723.52255189315508</v>
      </c>
      <c r="L50" s="12">
        <f t="shared" si="2"/>
        <v>-3766.5235237917882</v>
      </c>
    </row>
    <row r="51" spans="1:12" x14ac:dyDescent="0.35">
      <c r="A51" s="9">
        <v>9</v>
      </c>
      <c r="B51" s="9">
        <f>B6*(1-'Datos Técnicos'!B6)^8</f>
        <v>480.34652178771847</v>
      </c>
      <c r="C51" s="11">
        <f>INDEX('Datos Técnicos'!B20:Y23,E7,9)/100</f>
        <v>0.86</v>
      </c>
      <c r="D51" s="9">
        <f>B51*C51*'Datos Técnicos'!B5</f>
        <v>12558.179465618112</v>
      </c>
      <c r="E51" s="12">
        <f>D51*B8</f>
        <v>1506.9815358741735</v>
      </c>
      <c r="F51" s="9">
        <f>B51*B20/1000*'Datos Técnicos'!B5</f>
        <v>1679.2914401698636</v>
      </c>
      <c r="G51" s="12">
        <f>F51*B9</f>
        <v>839.64572008493178</v>
      </c>
      <c r="H51" s="12">
        <f>B13+B14</f>
        <v>0</v>
      </c>
      <c r="I51" s="12">
        <f>IF(B15&gt;0,B6*B15*B7,0)</f>
        <v>0</v>
      </c>
      <c r="J51" s="12">
        <f t="shared" si="0"/>
        <v>839.64572008493178</v>
      </c>
      <c r="K51" s="12">
        <f t="shared" si="1"/>
        <v>667.33581578924168</v>
      </c>
      <c r="L51" s="12">
        <f t="shared" si="2"/>
        <v>-3099.1877080025465</v>
      </c>
    </row>
    <row r="52" spans="1:12" x14ac:dyDescent="0.35">
      <c r="A52" s="9">
        <v>10</v>
      </c>
      <c r="B52" s="9">
        <f>B6*(1-'Datos Técnicos'!B6)^9</f>
        <v>477.94478917877984</v>
      </c>
      <c r="C52" s="11">
        <f>INDEX('Datos Técnicos'!B20:Y23,E7,10)/100</f>
        <v>0.83</v>
      </c>
      <c r="D52" s="9">
        <f>B52*C52*'Datos Técnicos'!B5</f>
        <v>12059.502920558971</v>
      </c>
      <c r="E52" s="12">
        <f>D52*B8</f>
        <v>1447.1403504670764</v>
      </c>
      <c r="F52" s="9">
        <f>B52*B20/1000*'Datos Técnicos'!B5</f>
        <v>1670.8949829690143</v>
      </c>
      <c r="G52" s="12">
        <f>F52*B9</f>
        <v>835.44749148450717</v>
      </c>
      <c r="H52" s="12">
        <f>B13+B14</f>
        <v>0</v>
      </c>
      <c r="I52" s="12">
        <f>IF(B15&gt;0,B6*B15*B7,0)</f>
        <v>0</v>
      </c>
      <c r="J52" s="12">
        <f t="shared" si="0"/>
        <v>835.44749148450717</v>
      </c>
      <c r="K52" s="12">
        <f t="shared" si="1"/>
        <v>611.69285898256919</v>
      </c>
      <c r="L52" s="12">
        <f t="shared" si="2"/>
        <v>-2487.4948490199772</v>
      </c>
    </row>
    <row r="53" spans="1:12" x14ac:dyDescent="0.35">
      <c r="A53" s="9">
        <v>11</v>
      </c>
      <c r="B53" s="9">
        <f>B6*(1-'Datos Técnicos'!B6)^10</f>
        <v>475.55506523288597</v>
      </c>
      <c r="C53" s="11">
        <f>INDEX('Datos Técnicos'!B20:Y23,E7,11)/100</f>
        <v>0.79</v>
      </c>
      <c r="D53" s="9">
        <f>B53*C53*'Datos Técnicos'!B5</f>
        <v>11420.93044663299</v>
      </c>
      <c r="E53" s="12">
        <f>D53*B8</f>
        <v>1370.5116535959587</v>
      </c>
      <c r="F53" s="9">
        <f>B53*B20/1000*'Datos Técnicos'!B5</f>
        <v>1662.5405080541693</v>
      </c>
      <c r="G53" s="12">
        <f>F53*B9</f>
        <v>831.27025402708466</v>
      </c>
      <c r="H53" s="12">
        <f>B13+B14</f>
        <v>0</v>
      </c>
      <c r="I53" s="12">
        <f>IF(B15&gt;0,B6*B15*B7,0)</f>
        <v>0</v>
      </c>
      <c r="J53" s="12">
        <f t="shared" si="0"/>
        <v>831.27025402708466</v>
      </c>
      <c r="K53" s="12">
        <f t="shared" si="1"/>
        <v>539.24139956887404</v>
      </c>
      <c r="L53" s="12">
        <f t="shared" si="2"/>
        <v>-1948.2534494511033</v>
      </c>
    </row>
    <row r="54" spans="1:12" x14ac:dyDescent="0.35">
      <c r="A54" s="9">
        <v>12</v>
      </c>
      <c r="B54" s="9">
        <f>B6*(1-'Datos Técnicos'!B6)^11</f>
        <v>473.17728990672151</v>
      </c>
      <c r="C54" s="11">
        <f>INDEX('Datos Técnicos'!B20:Y23,E7,12)/100</f>
        <v>0.74</v>
      </c>
      <c r="D54" s="9">
        <f>B54*C54*'Datos Técnicos'!B5</f>
        <v>10644.596313741606</v>
      </c>
      <c r="E54" s="12">
        <f>D54*B8</f>
        <v>1277.3515576489926</v>
      </c>
      <c r="F54" s="9">
        <f>B54*B20/1000*'Datos Técnicos'!B5</f>
        <v>1654.2278055138986</v>
      </c>
      <c r="G54" s="12">
        <f>F54*B9</f>
        <v>827.1139027569493</v>
      </c>
      <c r="H54" s="12">
        <f>B13+B14</f>
        <v>0</v>
      </c>
      <c r="I54" s="12">
        <f>IF(B15&gt;0,B6*B15*B7,0)</f>
        <v>0</v>
      </c>
      <c r="J54" s="12">
        <f t="shared" si="0"/>
        <v>827.1139027569493</v>
      </c>
      <c r="K54" s="12">
        <f t="shared" si="1"/>
        <v>450.23765489204334</v>
      </c>
      <c r="L54" s="12">
        <f t="shared" si="2"/>
        <v>-1498.0157945590599</v>
      </c>
    </row>
    <row r="55" spans="1:12" x14ac:dyDescent="0.35">
      <c r="A55" s="9">
        <v>13</v>
      </c>
      <c r="B55" s="9">
        <f>B6*(1-'Datos Técnicos'!B6)^12</f>
        <v>470.81140345718796</v>
      </c>
      <c r="C55" s="11">
        <f>INDEX('Datos Técnicos'!B20:Y23,E7,13)/100</f>
        <v>0.71</v>
      </c>
      <c r="D55" s="9">
        <f>B55*C55*'Datos Técnicos'!B5</f>
        <v>10161.993332219943</v>
      </c>
      <c r="E55" s="12">
        <f>D55*B8</f>
        <v>1219.4391998663932</v>
      </c>
      <c r="F55" s="9">
        <f>B55*B20/1000*'Datos Técnicos'!B5</f>
        <v>1645.9566664863291</v>
      </c>
      <c r="G55" s="12">
        <f>F55*B9</f>
        <v>822.97833324316457</v>
      </c>
      <c r="H55" s="12">
        <f>B13+B14</f>
        <v>0</v>
      </c>
      <c r="I55" s="12">
        <f>IF(B15&gt;0,B6*B15*B7,0)</f>
        <v>0</v>
      </c>
      <c r="J55" s="12">
        <f t="shared" si="0"/>
        <v>822.97833324316457</v>
      </c>
      <c r="K55" s="12">
        <f t="shared" si="1"/>
        <v>396.46086662322864</v>
      </c>
      <c r="L55" s="12">
        <f t="shared" si="2"/>
        <v>-1101.5549279358313</v>
      </c>
    </row>
    <row r="56" spans="1:12" x14ac:dyDescent="0.35">
      <c r="A56" s="9">
        <v>14</v>
      </c>
      <c r="B56" s="9">
        <f>B6*(1-'Datos Técnicos'!B6)^13</f>
        <v>468.45734643990204</v>
      </c>
      <c r="C56" s="11">
        <f>INDEX('Datos Técnicos'!B20:Y23,E7,14)/100</f>
        <v>0.68</v>
      </c>
      <c r="D56" s="9">
        <f>B56*C56*'Datos Técnicos'!B5</f>
        <v>9683.9502656056557</v>
      </c>
      <c r="E56" s="12">
        <f>D56*B8</f>
        <v>1162.0740318726787</v>
      </c>
      <c r="F56" s="9">
        <f>B56*B20/1000*'Datos Técnicos'!B5</f>
        <v>1637.7268831538975</v>
      </c>
      <c r="G56" s="12">
        <f>F56*B9</f>
        <v>818.86344157694873</v>
      </c>
      <c r="H56" s="12">
        <f>B13+B14</f>
        <v>0</v>
      </c>
      <c r="I56" s="12">
        <f>IF(B15&gt;0,B6*B15*B7,0)</f>
        <v>0</v>
      </c>
      <c r="J56" s="12">
        <f t="shared" si="0"/>
        <v>818.86344157694873</v>
      </c>
      <c r="K56" s="12">
        <f t="shared" si="1"/>
        <v>343.21059029572996</v>
      </c>
      <c r="L56" s="12">
        <f t="shared" si="2"/>
        <v>-758.34433764010134</v>
      </c>
    </row>
    <row r="57" spans="1:12" x14ac:dyDescent="0.35">
      <c r="A57" s="9">
        <v>15</v>
      </c>
      <c r="B57" s="9">
        <f>B6*(1-'Datos Técnicos'!B6)^14</f>
        <v>466.11505970770259</v>
      </c>
      <c r="C57" s="11">
        <f>INDEX('Datos Técnicos'!B20:Y23,E7,15)/100</f>
        <v>0.64</v>
      </c>
      <c r="D57" s="9">
        <f>B57*C57*'Datos Técnicos'!B5</f>
        <v>9068.7346016730626</v>
      </c>
      <c r="E57" s="12">
        <f>D57*B8</f>
        <v>1088.2481522007674</v>
      </c>
      <c r="F57" s="9">
        <f>B57*B20/1000*'Datos Técnicos'!B5</f>
        <v>1629.5382487381282</v>
      </c>
      <c r="G57" s="12">
        <f>F57*B9</f>
        <v>814.76912436906412</v>
      </c>
      <c r="H57" s="12">
        <f>B13+B14</f>
        <v>0</v>
      </c>
      <c r="I57" s="12">
        <f>IF(B15&gt;0,B6*B15*B7,0)</f>
        <v>0</v>
      </c>
      <c r="J57" s="12">
        <f t="shared" si="0"/>
        <v>814.76912436906412</v>
      </c>
      <c r="K57" s="12">
        <f t="shared" si="1"/>
        <v>273.47902783170332</v>
      </c>
      <c r="L57" s="12">
        <f t="shared" si="2"/>
        <v>-484.86530980839802</v>
      </c>
    </row>
    <row r="58" spans="1:12" x14ac:dyDescent="0.35">
      <c r="A58" s="9">
        <v>16</v>
      </c>
      <c r="B58" s="9">
        <f>B6*(1-'Datos Técnicos'!B6)^15</f>
        <v>463.78448440916401</v>
      </c>
      <c r="C58" s="11">
        <f>INDEX('Datos Técnicos'!B20:Y23,E7,16)/100</f>
        <v>0.6</v>
      </c>
      <c r="D58" s="9">
        <f>B58*C58*'Datos Técnicos'!B5</f>
        <v>8459.4289956231514</v>
      </c>
      <c r="E58" s="12">
        <f>D58*B8</f>
        <v>1015.1314794747782</v>
      </c>
      <c r="F58" s="9">
        <f>B58*B20/1000*'Datos Técnicos'!B5</f>
        <v>1621.3905574944374</v>
      </c>
      <c r="G58" s="12">
        <f>F58*B9</f>
        <v>810.69527874721871</v>
      </c>
      <c r="H58" s="12">
        <f>B13+B14</f>
        <v>0</v>
      </c>
      <c r="I58" s="12">
        <f>IF(B15&gt;0,B6*B15*B7,0)</f>
        <v>0</v>
      </c>
      <c r="J58" s="12">
        <f t="shared" si="0"/>
        <v>810.69527874721871</v>
      </c>
      <c r="K58" s="12">
        <f t="shared" si="1"/>
        <v>204.43620072755948</v>
      </c>
      <c r="L58" s="12">
        <f t="shared" si="2"/>
        <v>-280.42910908083854</v>
      </c>
    </row>
    <row r="59" spans="1:12" x14ac:dyDescent="0.35">
      <c r="A59" s="9">
        <v>17</v>
      </c>
      <c r="B59" s="9">
        <f>B6*(1-'Datos Técnicos'!B6)^16</f>
        <v>461.46556198711818</v>
      </c>
      <c r="C59" s="11">
        <f>INDEX('Datos Técnicos'!B20:Y23,E7,17)/100</f>
        <v>0.56999999999999995</v>
      </c>
      <c r="D59" s="9">
        <f>B59*C59*'Datos Técnicos'!B5</f>
        <v>7996.2752581127834</v>
      </c>
      <c r="E59" s="12">
        <f>D59*B8</f>
        <v>959.55303097353396</v>
      </c>
      <c r="F59" s="9">
        <f>B59*B20/1000*'Datos Técnicos'!B5</f>
        <v>1613.2836047069652</v>
      </c>
      <c r="G59" s="12">
        <f>F59*B9</f>
        <v>806.6418023534826</v>
      </c>
      <c r="H59" s="12">
        <f>B13+B14</f>
        <v>0</v>
      </c>
      <c r="I59" s="12">
        <f>IF(B15&gt;0,B6*B15*B7,0)</f>
        <v>0</v>
      </c>
      <c r="J59" s="12">
        <f t="shared" si="0"/>
        <v>806.6418023534826</v>
      </c>
      <c r="K59" s="12">
        <f t="shared" si="1"/>
        <v>152.91122862005136</v>
      </c>
      <c r="L59" s="12">
        <f t="shared" si="2"/>
        <v>-127.51788046078718</v>
      </c>
    </row>
    <row r="60" spans="1:12" x14ac:dyDescent="0.35">
      <c r="A60" s="9">
        <v>18</v>
      </c>
      <c r="B60" s="9">
        <f>B6*(1-'Datos Técnicos'!B6)^17</f>
        <v>459.15823417718258</v>
      </c>
      <c r="C60" s="11">
        <f>INDEX('Datos Técnicos'!B20:Y23,E7,18)/100</f>
        <v>0.54</v>
      </c>
      <c r="D60" s="9">
        <f>B60*C60*'Datos Técnicos'!B5</f>
        <v>7537.5415722526295</v>
      </c>
      <c r="E60" s="12">
        <f>D60*B8</f>
        <v>904.50498867031547</v>
      </c>
      <c r="F60" s="9">
        <f>B60*B20/1000*'Datos Técnicos'!B5</f>
        <v>1605.2171866834303</v>
      </c>
      <c r="G60" s="12">
        <f>F60*B9</f>
        <v>802.60859334171516</v>
      </c>
      <c r="H60" s="12">
        <f>B13+B14</f>
        <v>0</v>
      </c>
      <c r="I60" s="12">
        <f>IF(B15&gt;0,B6*B15*B7,0)</f>
        <v>0</v>
      </c>
      <c r="J60" s="12">
        <f t="shared" si="0"/>
        <v>802.60859334171516</v>
      </c>
      <c r="K60" s="12">
        <f t="shared" si="1"/>
        <v>101.89639532860031</v>
      </c>
      <c r="L60" s="12">
        <f t="shared" si="2"/>
        <v>-25.621485132186876</v>
      </c>
    </row>
    <row r="61" spans="1:12" x14ac:dyDescent="0.35">
      <c r="A61" s="9">
        <v>19</v>
      </c>
      <c r="B61" s="9">
        <f>B6*(1-'Datos Técnicos'!B6)^18</f>
        <v>456.8624430062967</v>
      </c>
      <c r="C61" s="11">
        <f>INDEX('Datos Técnicos'!B20:Y23,E7,19)/100</f>
        <v>0.5</v>
      </c>
      <c r="D61" s="9">
        <f>B61*C61*'Datos Técnicos'!B5</f>
        <v>6944.3091336957095</v>
      </c>
      <c r="E61" s="12">
        <f>D61*B8</f>
        <v>833.31709604348509</v>
      </c>
      <c r="F61" s="9">
        <f>B61*B20/1000*'Datos Técnicos'!B5</f>
        <v>1597.1911007500132</v>
      </c>
      <c r="G61" s="12">
        <f>F61*B9</f>
        <v>798.59555037500661</v>
      </c>
      <c r="H61" s="12">
        <f>B13+B14</f>
        <v>0</v>
      </c>
      <c r="I61" s="12">
        <f>IF(B15&gt;0,B6*B15*B7,0)</f>
        <v>0</v>
      </c>
      <c r="J61" s="12">
        <f t="shared" si="0"/>
        <v>798.59555037500661</v>
      </c>
      <c r="K61" s="12">
        <f t="shared" si="1"/>
        <v>34.721545668478484</v>
      </c>
      <c r="L61" s="12">
        <f t="shared" si="2"/>
        <v>9.1000605362916076</v>
      </c>
    </row>
    <row r="62" spans="1:12" x14ac:dyDescent="0.35">
      <c r="A62" s="9">
        <v>20</v>
      </c>
      <c r="B62" s="9">
        <f>B6*(1-'Datos Técnicos'!B6)^19</f>
        <v>454.57813079126521</v>
      </c>
      <c r="C62" s="11">
        <f>INDEX('Datos Técnicos'!B20:Y23,E7,20)/100</f>
        <v>0.47</v>
      </c>
      <c r="D62" s="9">
        <f>B62*C62*'Datos Técnicos'!B5</f>
        <v>6495.0123327455967</v>
      </c>
      <c r="E62" s="12">
        <f>D62*B8</f>
        <v>779.40147992947163</v>
      </c>
      <c r="F62" s="9">
        <f>B62*B20/1000*'Datos Técnicos'!B5</f>
        <v>1589.2051452462631</v>
      </c>
      <c r="G62" s="12">
        <f>F62*B9</f>
        <v>794.60257262313155</v>
      </c>
      <c r="H62" s="12">
        <f>B13+B14</f>
        <v>0</v>
      </c>
      <c r="I62" s="12">
        <f>IF(B15&gt;0,B6*B15*B7,0)</f>
        <v>0</v>
      </c>
      <c r="J62" s="12">
        <f t="shared" si="0"/>
        <v>794.60257262313155</v>
      </c>
      <c r="K62" s="12">
        <f t="shared" si="1"/>
        <v>-15.201092693659916</v>
      </c>
      <c r="L62" s="12">
        <f t="shared" si="2"/>
        <v>-6.1010321573683086</v>
      </c>
    </row>
    <row r="63" spans="1:12" x14ac:dyDescent="0.35">
      <c r="A63" s="9">
        <v>21</v>
      </c>
      <c r="B63" s="9">
        <f>B6*(1-'Datos Técnicos'!B6)^20</f>
        <v>452.30524013730889</v>
      </c>
      <c r="C63" s="11">
        <f>INDEX('Datos Técnicos'!B20:Y23,E7,21)/100</f>
        <v>0.44</v>
      </c>
      <c r="D63" s="9">
        <f>B63*C63*'Datos Técnicos'!B5</f>
        <v>6050.0348920766437</v>
      </c>
      <c r="E63" s="12">
        <f>D63*B8</f>
        <v>726.00418704919718</v>
      </c>
      <c r="F63" s="9">
        <f>B63*B20/1000*'Datos Técnicos'!B5</f>
        <v>1581.2591195200318</v>
      </c>
      <c r="G63" s="12">
        <f>F63*B9</f>
        <v>790.62955976001592</v>
      </c>
      <c r="H63" s="12">
        <f>B13+B14</f>
        <v>0</v>
      </c>
      <c r="I63" s="12">
        <f>IF(B15&gt;0,B6*B15*B7,0)</f>
        <v>0</v>
      </c>
      <c r="J63" s="12">
        <f t="shared" si="0"/>
        <v>790.62955976001592</v>
      </c>
      <c r="K63" s="12">
        <f t="shared" si="1"/>
        <v>-64.625372710818738</v>
      </c>
      <c r="L63" s="12">
        <f t="shared" si="2"/>
        <v>-70.726404868187046</v>
      </c>
    </row>
    <row r="64" spans="1:12" x14ac:dyDescent="0.35">
      <c r="A64" s="9">
        <v>22</v>
      </c>
      <c r="B64" s="9">
        <f>B6*(1-'Datos Técnicos'!B6)^21</f>
        <v>450.04371393662234</v>
      </c>
      <c r="C64" s="11">
        <f>INDEX('Datos Técnicos'!B20:Y23,E7,22)/100</f>
        <v>0.41</v>
      </c>
      <c r="D64" s="9">
        <f>B64*C64*'Datos Técnicos'!B5</f>
        <v>5609.3448505060605</v>
      </c>
      <c r="E64" s="12">
        <f>D64*B8</f>
        <v>673.12138206072723</v>
      </c>
      <c r="F64" s="9">
        <f>B64*B20/1000*'Datos Técnicos'!B5</f>
        <v>1573.3528239224315</v>
      </c>
      <c r="G64" s="12">
        <f>F64*B9</f>
        <v>786.67641196121576</v>
      </c>
      <c r="H64" s="12">
        <f>B13+B14</f>
        <v>0</v>
      </c>
      <c r="I64" s="12">
        <f>IF(B15&gt;0,B6*B15*B7,0)</f>
        <v>0</v>
      </c>
      <c r="J64" s="12">
        <f t="shared" si="0"/>
        <v>786.67641196121576</v>
      </c>
      <c r="K64" s="12">
        <f t="shared" si="1"/>
        <v>-113.55502990048853</v>
      </c>
      <c r="L64" s="12">
        <f t="shared" si="2"/>
        <v>-184.28143476867558</v>
      </c>
    </row>
    <row r="65" spans="1:12" x14ac:dyDescent="0.35">
      <c r="A65" s="9">
        <v>23</v>
      </c>
      <c r="B65" s="9">
        <f>B6*(1-'Datos Técnicos'!B6)^22</f>
        <v>447.79349536693923</v>
      </c>
      <c r="C65" s="11">
        <f>INDEX('Datos Técnicos'!B20:Y23,E7,23)/100</f>
        <v>0.38</v>
      </c>
      <c r="D65" s="9">
        <f>B65*C65*'Datos Técnicos'!B5</f>
        <v>5172.910458478882</v>
      </c>
      <c r="E65" s="12">
        <f>D65*B8</f>
        <v>620.74925501746577</v>
      </c>
      <c r="F65" s="9">
        <f>B65*B20/1000*'Datos Técnicos'!B5</f>
        <v>1565.4860598028195</v>
      </c>
      <c r="G65" s="12">
        <f>F65*B9</f>
        <v>782.74302990140973</v>
      </c>
      <c r="H65" s="12">
        <f>B13+B14</f>
        <v>0</v>
      </c>
      <c r="I65" s="12">
        <f>IF(B15&gt;0,B6*B15*B7,0)</f>
        <v>0</v>
      </c>
      <c r="J65" s="12">
        <f t="shared" si="0"/>
        <v>782.74302990140973</v>
      </c>
      <c r="K65" s="12">
        <f t="shared" si="1"/>
        <v>-161.99377488394396</v>
      </c>
      <c r="L65" s="12">
        <f t="shared" si="2"/>
        <v>-346.27520965261954</v>
      </c>
    </row>
    <row r="66" spans="1:12" x14ac:dyDescent="0.35">
      <c r="A66" s="9">
        <v>24</v>
      </c>
      <c r="B66" s="9">
        <f>B6*(1-'Datos Técnicos'!B6)^23</f>
        <v>445.55452789010451</v>
      </c>
      <c r="C66" s="11">
        <f>INDEX('Datos Técnicos'!B20:Y23,E7,24)/100</f>
        <v>0.35</v>
      </c>
      <c r="D66" s="9">
        <f>B66*C66*'Datos Técnicos'!B5</f>
        <v>4740.7001767507118</v>
      </c>
      <c r="E66" s="12">
        <f>D66*B8</f>
        <v>568.88402121008539</v>
      </c>
      <c r="F66" s="9">
        <f>B66*B20/1000*'Datos Técnicos'!B5</f>
        <v>1557.6586295038053</v>
      </c>
      <c r="G66" s="12">
        <f>F66*B9</f>
        <v>778.82931475190264</v>
      </c>
      <c r="H66" s="12">
        <f>B13+B14</f>
        <v>0</v>
      </c>
      <c r="I66" s="12">
        <f>IF(B15&gt;0,B6*B15*B7,0)</f>
        <v>0</v>
      </c>
      <c r="J66" s="12">
        <f t="shared" si="0"/>
        <v>778.82931475190264</v>
      </c>
      <c r="K66" s="12">
        <f t="shared" si="1"/>
        <v>-209.94529354181725</v>
      </c>
      <c r="L66" s="12">
        <f t="shared" si="2"/>
        <v>-556.22050319443679</v>
      </c>
    </row>
  </sheetData>
  <sheetProtection algorithmName="SHA-512" hashValue="yn3nVM3ZXObHRR/DO+Irf6mfaehRZTiK7jd7TaRDmqrK5m2E/pzbLy2bKflDnuAQRNPqsxuctkfEX9pKpO0L9w==" saltValue="BqxPBWMgvWJ8+fDnGkcsyA==" spinCount="100000" sheet="1" objects="1" scenarios="1" selectLockedCells="1"/>
  <mergeCells count="5">
    <mergeCell ref="A2:H2"/>
    <mergeCell ref="A3:H3"/>
    <mergeCell ref="D6:G6"/>
    <mergeCell ref="A17:B17"/>
    <mergeCell ref="A41:H41"/>
  </mergeCells>
  <conditionalFormatting sqref="K43:L66">
    <cfRule type="cellIs" dxfId="5" priority="1" operator="lessThan">
      <formula>0</formula>
    </cfRule>
    <cfRule type="cellIs" dxfId="4" priority="2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D4A2D"/>
  </sheetPr>
  <dimension ref="A1:I41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6328125" defaultRowHeight="14.5" x14ac:dyDescent="0.35"/>
  <cols>
    <col min="1" max="1" width="38" customWidth="1"/>
    <col min="2" max="9" width="16" customWidth="1"/>
  </cols>
  <sheetData>
    <row r="1" spans="1:9" ht="22" customHeight="1" x14ac:dyDescent="0.4">
      <c r="A1" s="60" t="s">
        <v>180</v>
      </c>
      <c r="B1" s="31"/>
      <c r="C1" s="31"/>
      <c r="D1" s="31"/>
      <c r="E1" s="31"/>
      <c r="F1" s="37" t="s">
        <v>230</v>
      </c>
      <c r="G1" s="31"/>
      <c r="H1" s="31"/>
      <c r="I1" s="31"/>
    </row>
    <row r="2" spans="1:9" ht="20" x14ac:dyDescent="0.4">
      <c r="A2" s="62" t="s">
        <v>136</v>
      </c>
      <c r="B2" s="62"/>
      <c r="C2" s="62"/>
      <c r="D2" s="62"/>
      <c r="E2" s="62"/>
      <c r="F2" s="62"/>
      <c r="G2" s="62"/>
      <c r="H2" s="62"/>
    </row>
    <row r="3" spans="1:9" x14ac:dyDescent="0.35">
      <c r="A3" s="63" t="s">
        <v>137</v>
      </c>
      <c r="B3" s="63"/>
      <c r="C3" s="63"/>
      <c r="D3" s="63"/>
      <c r="E3" s="63"/>
      <c r="F3" s="63"/>
      <c r="G3" s="63"/>
      <c r="H3" s="63"/>
    </row>
    <row r="5" spans="1:9" ht="15.5" x14ac:dyDescent="0.35">
      <c r="A5" s="2" t="s">
        <v>81</v>
      </c>
      <c r="D5" s="2" t="s">
        <v>138</v>
      </c>
    </row>
    <row r="6" spans="1:9" ht="15" customHeight="1" x14ac:dyDescent="0.35">
      <c r="A6" s="1" t="s">
        <v>139</v>
      </c>
      <c r="B6" s="19">
        <v>500</v>
      </c>
      <c r="D6" s="64" t="s">
        <v>84</v>
      </c>
      <c r="E6" s="64"/>
      <c r="F6" s="64"/>
      <c r="G6" s="64"/>
    </row>
    <row r="7" spans="1:9" x14ac:dyDescent="0.35">
      <c r="A7" s="1" t="s">
        <v>140</v>
      </c>
      <c r="B7" s="23">
        <v>1.2</v>
      </c>
      <c r="D7" s="1" t="s">
        <v>86</v>
      </c>
      <c r="E7" s="19">
        <v>1</v>
      </c>
    </row>
    <row r="8" spans="1:9" x14ac:dyDescent="0.35">
      <c r="A8" s="1" t="s">
        <v>141</v>
      </c>
      <c r="B8" s="23">
        <v>6.5</v>
      </c>
    </row>
    <row r="9" spans="1:9" x14ac:dyDescent="0.35">
      <c r="A9" s="1" t="s">
        <v>142</v>
      </c>
      <c r="B9" s="23">
        <v>0.45</v>
      </c>
    </row>
    <row r="10" spans="1:9" x14ac:dyDescent="0.35">
      <c r="A10" s="1" t="s">
        <v>91</v>
      </c>
      <c r="B10" s="22">
        <v>80</v>
      </c>
    </row>
    <row r="11" spans="1:9" x14ac:dyDescent="0.35">
      <c r="A11" s="1" t="s">
        <v>143</v>
      </c>
      <c r="B11" s="23">
        <v>500</v>
      </c>
    </row>
    <row r="12" spans="1:9" x14ac:dyDescent="0.35">
      <c r="A12" s="1" t="s">
        <v>95</v>
      </c>
      <c r="B12" s="19">
        <v>120</v>
      </c>
    </row>
    <row r="13" spans="1:9" x14ac:dyDescent="0.35">
      <c r="A13" s="1" t="s">
        <v>97</v>
      </c>
      <c r="B13" s="23">
        <v>0</v>
      </c>
    </row>
    <row r="14" spans="1:9" x14ac:dyDescent="0.35">
      <c r="A14" s="1" t="s">
        <v>99</v>
      </c>
      <c r="B14" s="23">
        <v>0</v>
      </c>
    </row>
    <row r="15" spans="1:9" x14ac:dyDescent="0.35">
      <c r="A15" s="1" t="s">
        <v>144</v>
      </c>
      <c r="B15" s="19">
        <v>17</v>
      </c>
    </row>
    <row r="19" spans="1:9" ht="15.5" x14ac:dyDescent="0.35">
      <c r="A19" s="2" t="s">
        <v>145</v>
      </c>
    </row>
    <row r="20" spans="1:9" x14ac:dyDescent="0.35">
      <c r="A20" s="1" t="s">
        <v>146</v>
      </c>
      <c r="B20" s="13">
        <f>B6*INDEX('Datos Técnicos'!I12:I15,E7)</f>
        <v>30</v>
      </c>
    </row>
    <row r="21" spans="1:9" x14ac:dyDescent="0.35">
      <c r="A21" s="1" t="s">
        <v>147</v>
      </c>
      <c r="B21" s="14">
        <f>1-(1-'Datos Técnicos'!B7)^B15</f>
        <v>4.9794168714704101E-2</v>
      </c>
    </row>
    <row r="22" spans="1:9" x14ac:dyDescent="0.35">
      <c r="A22" s="1" t="s">
        <v>148</v>
      </c>
      <c r="B22" s="9">
        <f>B6*(1-B21)</f>
        <v>475.10291564264793</v>
      </c>
    </row>
    <row r="23" spans="1:9" x14ac:dyDescent="0.35">
      <c r="A23" s="1" t="s">
        <v>149</v>
      </c>
      <c r="B23" s="12">
        <f>B22*B8</f>
        <v>3088.1689516772117</v>
      </c>
    </row>
    <row r="24" spans="1:9" x14ac:dyDescent="0.35">
      <c r="A24" s="1" t="s">
        <v>150</v>
      </c>
      <c r="B24" s="12">
        <f>B6*B7</f>
        <v>600</v>
      </c>
    </row>
    <row r="25" spans="1:9" x14ac:dyDescent="0.35">
      <c r="A25" s="1" t="s">
        <v>116</v>
      </c>
      <c r="B25" s="12">
        <f>B20*B10+B11</f>
        <v>2900</v>
      </c>
    </row>
    <row r="26" spans="1:9" x14ac:dyDescent="0.35">
      <c r="A26" s="1" t="s">
        <v>120</v>
      </c>
      <c r="B26" s="24">
        <f>B24+B25</f>
        <v>3500</v>
      </c>
    </row>
    <row r="28" spans="1:9" ht="15.5" x14ac:dyDescent="0.35">
      <c r="A28" s="2" t="s">
        <v>122</v>
      </c>
    </row>
    <row r="29" spans="1:9" x14ac:dyDescent="0.35">
      <c r="A29" s="63" t="s">
        <v>151</v>
      </c>
      <c r="B29" s="63"/>
      <c r="C29" s="63"/>
      <c r="D29" s="63"/>
      <c r="E29" s="63"/>
      <c r="F29" s="63"/>
      <c r="G29" s="63"/>
      <c r="H29" s="63"/>
    </row>
    <row r="30" spans="1:9" x14ac:dyDescent="0.35">
      <c r="A30" s="3" t="s">
        <v>124</v>
      </c>
      <c r="B30" s="3" t="s">
        <v>152</v>
      </c>
      <c r="C30" s="3" t="s">
        <v>153</v>
      </c>
      <c r="D30" s="3" t="s">
        <v>154</v>
      </c>
      <c r="E30" s="3" t="s">
        <v>155</v>
      </c>
      <c r="F30" s="3" t="s">
        <v>131</v>
      </c>
      <c r="G30" s="3" t="s">
        <v>156</v>
      </c>
      <c r="H30" s="3" t="s">
        <v>134</v>
      </c>
      <c r="I30" s="3" t="s">
        <v>135</v>
      </c>
    </row>
    <row r="31" spans="1:9" x14ac:dyDescent="0.35">
      <c r="A31" s="9">
        <v>1</v>
      </c>
      <c r="B31" s="4" t="str">
        <f>IF(1&gt;B15,"-",1&amp;"–"&amp;MIN(4,B15))</f>
        <v>1–4</v>
      </c>
      <c r="C31" s="9">
        <f>IF(1&gt;B15,0,B6*(1-'Datos Técnicos'!B7)^MIN(4,B15))</f>
        <v>494.02694604050004</v>
      </c>
      <c r="D31" s="9">
        <f>IF(1&gt;B15,0,C31*AVERAGE(INDEX('Datos Técnicos'!B28:R29,IF(E7&lt;=2,1,2),1):INDEX('Datos Técnicos'!B28:R29,IF(E7&lt;=2,1,2),MIN(4,17)))*7*MIN(4,B15-1+1)/1000)</f>
        <v>318.15335325008203</v>
      </c>
      <c r="E31" s="12">
        <f>D31*B9</f>
        <v>143.16900896253691</v>
      </c>
      <c r="F31" s="12">
        <f>IF(1&gt;B15,0,B13+B14)</f>
        <v>0</v>
      </c>
      <c r="G31" s="12">
        <f>IF(AND(1&lt;=B15,MIN(4,B15)&gt;=B15),C31*B8,0)</f>
        <v>0</v>
      </c>
      <c r="H31" s="25">
        <f t="shared" ref="H31:H36" si="0">G31-E31-F31</f>
        <v>-143.16900896253691</v>
      </c>
      <c r="I31" s="25">
        <f>-B26+H31</f>
        <v>-3643.1690089625367</v>
      </c>
    </row>
    <row r="32" spans="1:9" x14ac:dyDescent="0.35">
      <c r="A32" s="9">
        <v>2</v>
      </c>
      <c r="B32" s="4" t="str">
        <f>IF(5&gt;B15,"-",5&amp;"–"&amp;MIN(8,B15))</f>
        <v>5–8</v>
      </c>
      <c r="C32" s="9">
        <f>IF(5&gt;B15,0,B6*(1-'Datos Técnicos'!B7)^MIN(8,B15))</f>
        <v>488.12524682820623</v>
      </c>
      <c r="D32" s="9">
        <f>IF(5&gt;B15,0,C32*AVERAGE(INDEX('Datos Técnicos'!B28:R29,IF(E7&lt;=2,1,2),5):INDEX('Datos Técnicos'!B28:R29,IF(E7&lt;=2,1,2),MIN(8,17)))*7*MIN(4,B15-5+1)/1000)</f>
        <v>744.87912665984265</v>
      </c>
      <c r="E32" s="12">
        <f>D32*B9</f>
        <v>335.1956069969292</v>
      </c>
      <c r="F32" s="12">
        <f>IF(5&gt;B15,0,B13+B14)</f>
        <v>0</v>
      </c>
      <c r="G32" s="12">
        <f>IF(AND(5&lt;=B15,MIN(8,B15)&gt;=B15),C32*B8,0)</f>
        <v>0</v>
      </c>
      <c r="H32" s="25">
        <f t="shared" si="0"/>
        <v>-335.1956069969292</v>
      </c>
      <c r="I32" s="25">
        <f>I31+H32</f>
        <v>-3978.3646159594659</v>
      </c>
    </row>
    <row r="33" spans="1:9" x14ac:dyDescent="0.35">
      <c r="A33" s="9">
        <v>3</v>
      </c>
      <c r="B33" s="4" t="str">
        <f>IF(9&gt;B15,"-",9&amp;"–"&amp;MIN(12,B15))</f>
        <v>9–12</v>
      </c>
      <c r="C33" s="9">
        <f>IF(9&gt;B15,0,B6*(1-'Datos Técnicos'!B7)^MIN(12,B15))</f>
        <v>482.29404995160797</v>
      </c>
      <c r="D33" s="9">
        <f>IF(9&gt;B15,0,C33*AVERAGE(INDEX('Datos Técnicos'!B28:R29,IF(E7&lt;=2,1,2),9):INDEX('Datos Técnicos'!B28:R29,IF(E7&lt;=2,1,2),MIN(12,17)))*7*MIN(4,B15-9+1)/1000)</f>
        <v>999.31327149973163</v>
      </c>
      <c r="E33" s="12">
        <f>D33*B9</f>
        <v>449.69097217487922</v>
      </c>
      <c r="F33" s="12">
        <f>IF(9&gt;B15,0,B13+B14)</f>
        <v>0</v>
      </c>
      <c r="G33" s="12">
        <f>IF(AND(9&lt;=B15,MIN(12,B15)&gt;=B15),C33*B8,0)</f>
        <v>0</v>
      </c>
      <c r="H33" s="25">
        <f t="shared" si="0"/>
        <v>-449.69097217487922</v>
      </c>
      <c r="I33" s="25">
        <f>I32+H33</f>
        <v>-4428.0555881343453</v>
      </c>
    </row>
    <row r="34" spans="1:9" x14ac:dyDescent="0.35">
      <c r="A34" s="9">
        <v>4</v>
      </c>
      <c r="B34" s="4" t="str">
        <f>IF(13&gt;B15,"-",13&amp;"–"&amp;MIN(16,B15))</f>
        <v>13–16</v>
      </c>
      <c r="C34" s="9">
        <f>IF(13&gt;B15,0,B6*(1-'Datos Técnicos'!B7)^MIN(16,B15))</f>
        <v>476.53251318219452</v>
      </c>
      <c r="D34" s="9">
        <f>IF(13&gt;B15,0,C34*AVERAGE(INDEX('Datos Técnicos'!B28:R29,IF(E7&lt;=2,1,2),13):INDEX('Datos Técnicos'!B28:R29,IF(E7&lt;=2,1,2),MIN(16,17)))*7*MIN(4,B15-13+1)/1000)</f>
        <v>1200.8619332191302</v>
      </c>
      <c r="E34" s="12">
        <f>D34*B9</f>
        <v>540.38786994860857</v>
      </c>
      <c r="F34" s="12">
        <f>IF(13&gt;B15,0,B13+B14)</f>
        <v>0</v>
      </c>
      <c r="G34" s="12">
        <f>IF(AND(13&lt;=B15,MIN(16,B15)&gt;=B15),C34*B8,0)</f>
        <v>0</v>
      </c>
      <c r="H34" s="25">
        <f t="shared" si="0"/>
        <v>-540.38786994860857</v>
      </c>
      <c r="I34" s="25">
        <f>I33+H34</f>
        <v>-4968.4434580829538</v>
      </c>
    </row>
    <row r="35" spans="1:9" x14ac:dyDescent="0.35">
      <c r="A35" s="9">
        <v>5</v>
      </c>
      <c r="B35" s="4" t="str">
        <f>IF(17&gt;B15,"-",17&amp;"–"&amp;MIN(20,B15))</f>
        <v>17–17</v>
      </c>
      <c r="C35" s="9">
        <f>IF(17&gt;B15,0,B6*(1-'Datos Técnicos'!B7)^MIN(20,B15))</f>
        <v>475.10291564264793</v>
      </c>
      <c r="D35" s="9">
        <f>IF(17&gt;B15,0,C35*AVERAGE(INDEX('Datos Técnicos'!B28:R29,IF(E7&lt;=2,1,2),17):INDEX('Datos Técnicos'!B28:R29,IF(E7&lt;=2,1,2),MIN(20,17)))*7*MIN(4,B15-17+1)/1000)</f>
        <v>332.57204094985354</v>
      </c>
      <c r="E35" s="12">
        <f>D35*B9</f>
        <v>149.6574184274341</v>
      </c>
      <c r="F35" s="12">
        <f>IF(17&gt;B15,0,B13+B14)</f>
        <v>0</v>
      </c>
      <c r="G35" s="12">
        <f>IF(AND(17&lt;=B15,MIN(20,B15)&gt;=B15),C35*B8,0)</f>
        <v>3088.1689516772117</v>
      </c>
      <c r="H35" s="25">
        <f t="shared" si="0"/>
        <v>2938.5115332497776</v>
      </c>
      <c r="I35" s="25">
        <f>I34+H35</f>
        <v>-2029.9319248331763</v>
      </c>
    </row>
    <row r="36" spans="1:9" x14ac:dyDescent="0.35">
      <c r="A36" s="9">
        <v>6</v>
      </c>
      <c r="B36" s="4" t="str">
        <f>IF(21&gt;B15,"-",21&amp;"–"&amp;MIN(24,B15))</f>
        <v>-</v>
      </c>
      <c r="C36" s="9">
        <f>IF(21&gt;B15,0,B6*(1-'Datos Técnicos'!B7)^MIN(24,B15))</f>
        <v>0</v>
      </c>
      <c r="D36" s="9">
        <v>0</v>
      </c>
      <c r="E36" s="12">
        <f>D36*B9</f>
        <v>0</v>
      </c>
      <c r="F36" s="12">
        <f>IF(21&gt;B15,0,B13+B14)</f>
        <v>0</v>
      </c>
      <c r="G36" s="12">
        <f>IF(AND(21&lt;=B15,MIN(24,B15)&gt;=B15),C36*B8,0)</f>
        <v>0</v>
      </c>
      <c r="H36" s="25">
        <f t="shared" si="0"/>
        <v>0</v>
      </c>
      <c r="I36" s="25">
        <f>I35+H36</f>
        <v>-2029.9319248331763</v>
      </c>
    </row>
    <row r="38" spans="1:9" ht="15.5" x14ac:dyDescent="0.35">
      <c r="A38" s="2" t="s">
        <v>157</v>
      </c>
    </row>
    <row r="39" spans="1:9" x14ac:dyDescent="0.35">
      <c r="A39" s="1" t="s">
        <v>158</v>
      </c>
      <c r="B39" s="10">
        <f>B26</f>
        <v>3500</v>
      </c>
    </row>
    <row r="40" spans="1:9" x14ac:dyDescent="0.35">
      <c r="A40" s="1" t="s">
        <v>159</v>
      </c>
      <c r="B40" s="10">
        <f>B23</f>
        <v>3088.1689516772117</v>
      </c>
    </row>
    <row r="41" spans="1:9" x14ac:dyDescent="0.35">
      <c r="A41" s="1" t="s">
        <v>160</v>
      </c>
      <c r="B41" s="10">
        <f>B40-B24-SUM(E31:E36)-SUM(F31:F36)</f>
        <v>870.06807516682375</v>
      </c>
    </row>
  </sheetData>
  <sheetProtection algorithmName="SHA-512" hashValue="gMu+pfPuXN8g/3WQJfD5FfUnLgVUfX9s6BKf9YrJITP2ZQVLjV7oMdb0DvFZWnVgiOgs8bGNeyynaLNtpP9twQ==" saltValue="3p8RDTxrmCMknmj25eA1QQ==" spinCount="100000" sheet="1" objects="1" scenarios="1" selectLockedCells="1"/>
  <mergeCells count="4">
    <mergeCell ref="A2:H2"/>
    <mergeCell ref="A3:H3"/>
    <mergeCell ref="D6:G6"/>
    <mergeCell ref="A29:H29"/>
  </mergeCells>
  <conditionalFormatting sqref="H31:I36">
    <cfRule type="cellIs" dxfId="3" priority="1" operator="greaterThan">
      <formula>0</formula>
    </cfRule>
    <cfRule type="cellIs" dxfId="2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D4A2D"/>
  </sheetPr>
  <dimension ref="A1:I68"/>
  <sheetViews>
    <sheetView zoomScaleNormal="100" workbookViewId="0">
      <pane ySplit="3" topLeftCell="A4" activePane="bottomLeft" state="frozen"/>
      <selection pane="bottomLeft" activeCell="B15" sqref="B15:B16"/>
    </sheetView>
  </sheetViews>
  <sheetFormatPr baseColWidth="10" defaultColWidth="8.6328125" defaultRowHeight="14.5" x14ac:dyDescent="0.35"/>
  <cols>
    <col min="1" max="1" width="35.54296875" style="59" customWidth="1"/>
    <col min="2" max="9" width="16" customWidth="1"/>
  </cols>
  <sheetData>
    <row r="1" spans="1:9" ht="22" customHeight="1" x14ac:dyDescent="0.4">
      <c r="A1" s="60" t="s">
        <v>180</v>
      </c>
      <c r="B1" s="31"/>
      <c r="C1" s="31"/>
      <c r="D1" s="31"/>
      <c r="E1" s="31"/>
      <c r="F1" s="37" t="s">
        <v>230</v>
      </c>
      <c r="G1" s="31"/>
      <c r="H1" s="31"/>
      <c r="I1" s="31"/>
    </row>
    <row r="2" spans="1:9" ht="20" x14ac:dyDescent="0.4">
      <c r="A2" s="62" t="s">
        <v>161</v>
      </c>
      <c r="B2" s="62"/>
      <c r="C2" s="62"/>
      <c r="D2" s="62"/>
      <c r="E2" s="62"/>
      <c r="F2" s="62"/>
      <c r="G2" s="62"/>
      <c r="H2" s="62"/>
    </row>
    <row r="3" spans="1:9" x14ac:dyDescent="0.35">
      <c r="A3" s="63" t="s">
        <v>162</v>
      </c>
      <c r="B3" s="63"/>
      <c r="C3" s="63"/>
      <c r="D3" s="63"/>
      <c r="E3" s="63"/>
      <c r="F3" s="63"/>
      <c r="G3" s="63"/>
      <c r="H3" s="63"/>
    </row>
    <row r="4" spans="1:9" x14ac:dyDescent="0.35">
      <c r="A4"/>
    </row>
    <row r="5" spans="1:9" ht="15.5" x14ac:dyDescent="0.35">
      <c r="A5" s="2" t="s">
        <v>81</v>
      </c>
      <c r="D5" s="2" t="s">
        <v>138</v>
      </c>
    </row>
    <row r="6" spans="1:9" ht="15" customHeight="1" x14ac:dyDescent="0.35">
      <c r="A6" s="1" t="s">
        <v>139</v>
      </c>
      <c r="B6" s="19">
        <v>500</v>
      </c>
      <c r="D6" s="64" t="s">
        <v>84</v>
      </c>
      <c r="E6" s="64"/>
      <c r="F6" s="64"/>
      <c r="G6" s="64"/>
    </row>
    <row r="7" spans="1:9" x14ac:dyDescent="0.35">
      <c r="A7" s="1" t="s">
        <v>140</v>
      </c>
      <c r="B7" s="61">
        <v>1.2</v>
      </c>
      <c r="D7" s="1" t="s">
        <v>86</v>
      </c>
      <c r="E7" s="19">
        <v>1</v>
      </c>
    </row>
    <row r="8" spans="1:9" ht="34.5" x14ac:dyDescent="0.35">
      <c r="A8" s="1" t="s">
        <v>87</v>
      </c>
      <c r="B8" s="23">
        <v>0.12</v>
      </c>
      <c r="D8" s="1" t="s">
        <v>88</v>
      </c>
      <c r="E8" s="19">
        <v>1</v>
      </c>
    </row>
    <row r="9" spans="1:9" ht="23" x14ac:dyDescent="0.35">
      <c r="A9" s="1" t="s">
        <v>142</v>
      </c>
      <c r="B9" s="23">
        <v>0.45</v>
      </c>
      <c r="D9" s="1" t="s">
        <v>90</v>
      </c>
      <c r="E9" s="19">
        <v>1</v>
      </c>
    </row>
    <row r="10" spans="1:9" ht="34.5" x14ac:dyDescent="0.35">
      <c r="A10" s="1" t="s">
        <v>89</v>
      </c>
      <c r="B10" s="23">
        <v>0.5</v>
      </c>
      <c r="D10" s="1" t="s">
        <v>92</v>
      </c>
      <c r="E10" s="19">
        <v>1</v>
      </c>
    </row>
    <row r="11" spans="1:9" ht="23" x14ac:dyDescent="0.35">
      <c r="A11" s="1" t="s">
        <v>91</v>
      </c>
      <c r="B11" s="23">
        <v>80</v>
      </c>
      <c r="D11" s="1" t="s">
        <v>94</v>
      </c>
      <c r="E11" s="23">
        <v>18</v>
      </c>
    </row>
    <row r="12" spans="1:9" ht="23" x14ac:dyDescent="0.35">
      <c r="A12" s="1" t="s">
        <v>143</v>
      </c>
      <c r="B12" s="19">
        <v>500</v>
      </c>
      <c r="D12" s="1" t="s">
        <v>96</v>
      </c>
      <c r="E12" s="23">
        <v>1.2</v>
      </c>
    </row>
    <row r="13" spans="1:9" x14ac:dyDescent="0.35">
      <c r="A13" s="1" t="s">
        <v>95</v>
      </c>
      <c r="B13" s="19">
        <v>120</v>
      </c>
      <c r="D13" s="1" t="s">
        <v>98</v>
      </c>
      <c r="E13" s="23">
        <v>15</v>
      </c>
    </row>
    <row r="14" spans="1:9" x14ac:dyDescent="0.35">
      <c r="A14" s="1" t="s">
        <v>97</v>
      </c>
      <c r="B14" s="23">
        <v>0</v>
      </c>
    </row>
    <row r="15" spans="1:9" x14ac:dyDescent="0.35">
      <c r="A15" s="1" t="s">
        <v>99</v>
      </c>
      <c r="B15" s="23">
        <v>0</v>
      </c>
    </row>
    <row r="16" spans="1:9" x14ac:dyDescent="0.35">
      <c r="A16" s="1" t="s">
        <v>163</v>
      </c>
      <c r="B16" s="20">
        <v>0</v>
      </c>
    </row>
    <row r="17" spans="1:2" x14ac:dyDescent="0.35">
      <c r="A17"/>
    </row>
    <row r="18" spans="1:2" x14ac:dyDescent="0.35">
      <c r="A18"/>
    </row>
    <row r="19" spans="1:2" ht="15.5" x14ac:dyDescent="0.35">
      <c r="A19" s="2" t="s">
        <v>164</v>
      </c>
    </row>
    <row r="20" spans="1:2" x14ac:dyDescent="0.35">
      <c r="A20" s="1" t="s">
        <v>165</v>
      </c>
      <c r="B20" s="5">
        <f>INDEX('Datos Técnicos'!D12:D15,E7)</f>
        <v>115</v>
      </c>
    </row>
    <row r="21" spans="1:2" x14ac:dyDescent="0.35">
      <c r="A21" s="1" t="s">
        <v>166</v>
      </c>
      <c r="B21" s="7">
        <f>IF(E8=1,INDEX('Datos Técnicos'!F12:F15,E7),IF(E8=2,INDEX('Datos Técnicos'!G12:G15,E7),INDEX('Datos Técnicos'!H12:H15,E7)))</f>
        <v>0.1</v>
      </c>
    </row>
    <row r="22" spans="1:2" x14ac:dyDescent="0.35">
      <c r="A22" s="1" t="s">
        <v>107</v>
      </c>
      <c r="B22" s="8">
        <f>B6*B21</f>
        <v>50</v>
      </c>
    </row>
    <row r="23" spans="1:2" x14ac:dyDescent="0.35">
      <c r="A23" s="1" t="s">
        <v>111</v>
      </c>
      <c r="B23" s="5">
        <f>IF(E9=1,CEILING(B6/INDEX('Datos Técnicos'!K12:K15,E7),1),CEILING(B6*INDEX('Datos Técnicos'!J12:J15,E7)/100,1))</f>
        <v>17</v>
      </c>
    </row>
    <row r="24" spans="1:2" x14ac:dyDescent="0.35">
      <c r="A24" s="1" t="s">
        <v>112</v>
      </c>
      <c r="B24" s="5">
        <f>IF(E10=1,CEILING(B6/INDEX('Datos Técnicos'!L12:L15,E7),1),IF(E10=2,CEILING(B6/INDEX('Datos Técnicos'!M12:M15,E7),1),CEILING(B6*INDEX('Datos Técnicos'!N12:N15,E7)/100,1)))</f>
        <v>63</v>
      </c>
    </row>
    <row r="25" spans="1:2" x14ac:dyDescent="0.35">
      <c r="A25" s="1" t="s">
        <v>113</v>
      </c>
      <c r="B25" s="5">
        <f>CEILING(B6/INDEX('Datos Técnicos'!O12:O15,E7),1)</f>
        <v>100</v>
      </c>
    </row>
    <row r="26" spans="1:2" x14ac:dyDescent="0.35">
      <c r="A26" s="1" t="s">
        <v>147</v>
      </c>
      <c r="B26" s="15">
        <f>1-(1-'Datos Técnicos'!B7)^17</f>
        <v>4.9794168714704101E-2</v>
      </c>
    </row>
    <row r="27" spans="1:2" x14ac:dyDescent="0.35">
      <c r="A27" s="1" t="s">
        <v>167</v>
      </c>
      <c r="B27" s="5">
        <f>B6*(1-B26)</f>
        <v>475.10291564264793</v>
      </c>
    </row>
    <row r="28" spans="1:2" x14ac:dyDescent="0.35">
      <c r="A28"/>
    </row>
    <row r="29" spans="1:2" ht="15.5" x14ac:dyDescent="0.35">
      <c r="A29" s="2" t="s">
        <v>114</v>
      </c>
    </row>
    <row r="30" spans="1:2" x14ac:dyDescent="0.35">
      <c r="A30" s="1" t="s">
        <v>150</v>
      </c>
      <c r="B30" s="9">
        <f>B6*B7</f>
        <v>600</v>
      </c>
    </row>
    <row r="31" spans="1:2" x14ac:dyDescent="0.35">
      <c r="A31" s="1" t="s">
        <v>116</v>
      </c>
      <c r="B31" s="9">
        <f>B22*B11+B12</f>
        <v>4500</v>
      </c>
    </row>
    <row r="32" spans="1:2" x14ac:dyDescent="0.35">
      <c r="A32" s="1" t="s">
        <v>117</v>
      </c>
      <c r="B32" s="9">
        <f>B23*E11</f>
        <v>306</v>
      </c>
    </row>
    <row r="33" spans="1:9" x14ac:dyDescent="0.35">
      <c r="A33" s="1" t="s">
        <v>118</v>
      </c>
      <c r="B33" s="9">
        <f>B24*E12</f>
        <v>75.599999999999994</v>
      </c>
    </row>
    <row r="34" spans="1:9" x14ac:dyDescent="0.35">
      <c r="A34" s="1" t="s">
        <v>119</v>
      </c>
      <c r="B34" s="9">
        <f>B25*E13</f>
        <v>1500</v>
      </c>
    </row>
    <row r="35" spans="1:9" x14ac:dyDescent="0.35">
      <c r="A35" s="1" t="s">
        <v>120</v>
      </c>
      <c r="B35" s="26">
        <f>SUM(B30:B34)</f>
        <v>6981.6</v>
      </c>
    </row>
    <row r="36" spans="1:9" x14ac:dyDescent="0.35">
      <c r="A36" s="1" t="s">
        <v>121</v>
      </c>
      <c r="B36" s="10">
        <f>B31/B13</f>
        <v>37.5</v>
      </c>
    </row>
    <row r="37" spans="1:9" x14ac:dyDescent="0.35">
      <c r="A37"/>
    </row>
    <row r="38" spans="1:9" ht="15.5" x14ac:dyDescent="0.35">
      <c r="A38" s="2" t="s">
        <v>122</v>
      </c>
    </row>
    <row r="39" spans="1:9" x14ac:dyDescent="0.35">
      <c r="A39" s="63" t="s">
        <v>168</v>
      </c>
      <c r="B39" s="63"/>
      <c r="C39" s="63"/>
      <c r="D39" s="63"/>
      <c r="E39" s="63"/>
      <c r="F39" s="63"/>
      <c r="G39" s="63"/>
      <c r="H39" s="63"/>
    </row>
    <row r="40" spans="1:9" x14ac:dyDescent="0.35">
      <c r="A40" s="3" t="s">
        <v>124</v>
      </c>
      <c r="B40" s="3" t="s">
        <v>169</v>
      </c>
      <c r="C40" s="3" t="s">
        <v>170</v>
      </c>
      <c r="D40" s="3" t="s">
        <v>171</v>
      </c>
      <c r="E40" s="3" t="s">
        <v>172</v>
      </c>
      <c r="F40" s="3" t="s">
        <v>128</v>
      </c>
      <c r="G40" s="3" t="s">
        <v>133</v>
      </c>
      <c r="H40" s="3" t="s">
        <v>134</v>
      </c>
      <c r="I40" s="3" t="s">
        <v>135</v>
      </c>
    </row>
    <row r="41" spans="1:9" x14ac:dyDescent="0.35">
      <c r="A41" s="58">
        <v>1</v>
      </c>
      <c r="B41" s="16" t="s">
        <v>173</v>
      </c>
      <c r="C41" s="9">
        <f>B6*(1-'Datos Técnicos'!B7)^4</f>
        <v>494.02694604050004</v>
      </c>
      <c r="D41" s="4" t="s">
        <v>174</v>
      </c>
      <c r="E41" s="9">
        <f>C41*AVERAGE(INDEX('Datos Técnicos'!B28:R29,IF(E7&lt;=2,1,2),1):INDEX('Datos Técnicos'!B28:R29,IF(E7&lt;=2,1,2),4))*7*4/1000</f>
        <v>318.15335325008203</v>
      </c>
      <c r="F41" s="4" t="s">
        <v>175</v>
      </c>
      <c r="G41" s="12">
        <f>E41*B9+B14+B15</f>
        <v>143.16900896253691</v>
      </c>
      <c r="H41" s="12">
        <f>-G41</f>
        <v>-143.16900896253691</v>
      </c>
      <c r="I41" s="12">
        <f>-B35+H41</f>
        <v>-7124.7690089625376</v>
      </c>
    </row>
    <row r="42" spans="1:9" x14ac:dyDescent="0.35">
      <c r="A42" s="58">
        <v>2</v>
      </c>
      <c r="B42" s="16" t="s">
        <v>173</v>
      </c>
      <c r="C42" s="9">
        <f>B6*(1-'Datos Técnicos'!B7)^8</f>
        <v>488.12524682820623</v>
      </c>
      <c r="D42" s="4" t="s">
        <v>176</v>
      </c>
      <c r="E42" s="9">
        <f>C42*AVERAGE(INDEX('Datos Técnicos'!B28:R29,IF(E7&lt;=2,1,2),5):INDEX('Datos Técnicos'!B28:R29,IF(E7&lt;=2,1,2),8))*7*4/1000</f>
        <v>744.87912665984265</v>
      </c>
      <c r="F42" s="4" t="s">
        <v>175</v>
      </c>
      <c r="G42" s="12">
        <f>E42*B9+B14+B15</f>
        <v>335.1956069969292</v>
      </c>
      <c r="H42" s="12">
        <f>-G42</f>
        <v>-335.1956069969292</v>
      </c>
      <c r="I42" s="12">
        <f t="shared" ref="I42:I68" si="0">I41+H42</f>
        <v>-7459.9646159594668</v>
      </c>
    </row>
    <row r="43" spans="1:9" x14ac:dyDescent="0.35">
      <c r="A43" s="58">
        <v>3</v>
      </c>
      <c r="B43" s="16" t="s">
        <v>173</v>
      </c>
      <c r="C43" s="9">
        <f>B6*(1-'Datos Técnicos'!B7)^12</f>
        <v>482.29404995160797</v>
      </c>
      <c r="D43" s="4" t="s">
        <v>177</v>
      </c>
      <c r="E43" s="9">
        <f>C43*AVERAGE(INDEX('Datos Técnicos'!B28:R29,IF(E7&lt;=2,1,2),9):INDEX('Datos Técnicos'!B28:R29,IF(E7&lt;=2,1,2),12))*7*4/1000</f>
        <v>999.31327149973163</v>
      </c>
      <c r="F43" s="4" t="s">
        <v>175</v>
      </c>
      <c r="G43" s="12">
        <f>E43*B9+B14+B15</f>
        <v>449.69097217487922</v>
      </c>
      <c r="H43" s="12">
        <f>-G43</f>
        <v>-449.69097217487922</v>
      </c>
      <c r="I43" s="12">
        <f t="shared" si="0"/>
        <v>-7909.6555881343456</v>
      </c>
    </row>
    <row r="44" spans="1:9" x14ac:dyDescent="0.35">
      <c r="A44" s="58">
        <v>4</v>
      </c>
      <c r="B44" s="16" t="s">
        <v>173</v>
      </c>
      <c r="C44" s="9">
        <f>B6*(1-'Datos Técnicos'!B7)^16</f>
        <v>476.53251318219452</v>
      </c>
      <c r="D44" s="4" t="s">
        <v>178</v>
      </c>
      <c r="E44" s="9">
        <f>C44*AVERAGE(INDEX('Datos Técnicos'!B28:R29,IF(E7&lt;=2,1,2),13):INDEX('Datos Técnicos'!B28:R29,IF(E7&lt;=2,1,2),16))*7*4/1000</f>
        <v>1200.8619332191302</v>
      </c>
      <c r="F44" s="4" t="s">
        <v>175</v>
      </c>
      <c r="G44" s="12">
        <f>E44*B9+B14+B15</f>
        <v>540.38786994860857</v>
      </c>
      <c r="H44" s="12">
        <f>-G44</f>
        <v>-540.38786994860857</v>
      </c>
      <c r="I44" s="12">
        <f t="shared" si="0"/>
        <v>-8450.0434580829533</v>
      </c>
    </row>
    <row r="45" spans="1:9" x14ac:dyDescent="0.35">
      <c r="A45" s="58">
        <v>5</v>
      </c>
      <c r="B45" s="17" t="s">
        <v>179</v>
      </c>
      <c r="C45" s="9">
        <f>B27</f>
        <v>475.10291564264793</v>
      </c>
      <c r="D45" s="11">
        <f>INDEX('Datos Técnicos'!B20:Y23,E7,1)/100</f>
        <v>0.62</v>
      </c>
      <c r="E45" s="9">
        <f>C45*D45*'Datos Técnicos'!B5</f>
        <v>8954.7397540326292</v>
      </c>
      <c r="F45" s="12">
        <f>E45*B8</f>
        <v>1074.5687704839154</v>
      </c>
      <c r="G45" s="12">
        <f>C45*B20/1000*'Datos Técnicos'!B5*B10+B14+B15+IF(B16&gt;0,B6*B16*B7,0)</f>
        <v>830.47989654334845</v>
      </c>
      <c r="H45" s="12">
        <f t="shared" ref="H45:H68" si="1">F45-G45</f>
        <v>244.08887394056694</v>
      </c>
      <c r="I45" s="12">
        <f t="shared" si="0"/>
        <v>-8205.954584142386</v>
      </c>
    </row>
    <row r="46" spans="1:9" x14ac:dyDescent="0.35">
      <c r="A46" s="58">
        <v>6</v>
      </c>
      <c r="B46" s="17" t="s">
        <v>179</v>
      </c>
      <c r="C46" s="9">
        <f>B27*(1-'Datos Técnicos'!B6)^1</f>
        <v>472.72740106443467</v>
      </c>
      <c r="D46" s="11">
        <f>INDEX('Datos Técnicos'!B20:Y23,E7,2)/100</f>
        <v>0.92</v>
      </c>
      <c r="E46" s="9">
        <f>C46*D46*'Datos Técnicos'!B5</f>
        <v>13221.239952970109</v>
      </c>
      <c r="F46" s="12">
        <f>E46*B8</f>
        <v>1586.5487943564131</v>
      </c>
      <c r="G46" s="12">
        <f>C46*B20/1000*'Datos Técnicos'!B5*B10+B14+B15+IF(B16&gt;0,B6*B16*B7,0)</f>
        <v>826.3274970606318</v>
      </c>
      <c r="H46" s="12">
        <f t="shared" si="1"/>
        <v>760.22129729578126</v>
      </c>
      <c r="I46" s="12">
        <f t="shared" si="0"/>
        <v>-7445.7332868466046</v>
      </c>
    </row>
    <row r="47" spans="1:9" x14ac:dyDescent="0.35">
      <c r="A47" s="58">
        <v>7</v>
      </c>
      <c r="B47" s="17" t="s">
        <v>179</v>
      </c>
      <c r="C47" s="9">
        <f>B27*(1-'Datos Técnicos'!B6)^2</f>
        <v>470.36376405911255</v>
      </c>
      <c r="D47" s="11">
        <f>INDEX('Datos Técnicos'!B20:Y23,E7,3)/100</f>
        <v>0.95</v>
      </c>
      <c r="E47" s="9">
        <f>C47*D47*'Datos Técnicos'!B5</f>
        <v>13584.10550602717</v>
      </c>
      <c r="F47" s="12">
        <f>E47*B8</f>
        <v>1630.0926607232605</v>
      </c>
      <c r="G47" s="12">
        <f>C47*B20/1000*'Datos Técnicos'!B5*B10+B14+B15+IF(B16&gt;0,B6*B16*B7,0)</f>
        <v>822.19585957532865</v>
      </c>
      <c r="H47" s="12">
        <f t="shared" si="1"/>
        <v>807.8968011479318</v>
      </c>
      <c r="I47" s="12">
        <f t="shared" si="0"/>
        <v>-6637.8364856986727</v>
      </c>
    </row>
    <row r="48" spans="1:9" x14ac:dyDescent="0.35">
      <c r="A48" s="58">
        <v>8</v>
      </c>
      <c r="B48" s="17" t="s">
        <v>179</v>
      </c>
      <c r="C48" s="9">
        <f>B27*(1-'Datos Técnicos'!B6)^3</f>
        <v>468.01194523881696</v>
      </c>
      <c r="D48" s="11">
        <f>INDEX('Datos Técnicos'!B20:Y23,E7,4)/100</f>
        <v>0.95</v>
      </c>
      <c r="E48" s="9">
        <f>C48*D48*'Datos Técnicos'!B5</f>
        <v>13516.184978497033</v>
      </c>
      <c r="F48" s="12">
        <f>E48*B8</f>
        <v>1621.9421974196439</v>
      </c>
      <c r="G48" s="12">
        <f>C48*B20/1000*'Datos Técnicos'!B5*B10+B14+B15+IF(B16&gt;0,B6*B16*B7,0)</f>
        <v>818.08488027745204</v>
      </c>
      <c r="H48" s="12">
        <f t="shared" si="1"/>
        <v>803.85731714219185</v>
      </c>
      <c r="I48" s="12">
        <f t="shared" si="0"/>
        <v>-5833.9791685564805</v>
      </c>
    </row>
    <row r="49" spans="1:9" x14ac:dyDescent="0.35">
      <c r="A49" s="58">
        <v>9</v>
      </c>
      <c r="B49" s="17" t="s">
        <v>179</v>
      </c>
      <c r="C49" s="9">
        <f>B27*(1-'Datos Técnicos'!B6)^4</f>
        <v>465.67188551262291</v>
      </c>
      <c r="D49" s="11">
        <f>INDEX('Datos Técnicos'!B20:Y23,E7,5)/100</f>
        <v>0.94</v>
      </c>
      <c r="E49" s="9">
        <f>C49*D49*'Datos Técnicos'!B5</f>
        <v>13307.039800408711</v>
      </c>
      <c r="F49" s="12">
        <f>E49*B8</f>
        <v>1596.8447760490453</v>
      </c>
      <c r="G49" s="12">
        <f>C49*B20/1000*'Datos Técnicos'!B5*B10+B14+B15+IF(B16&gt;0,B6*B16*B7,0)</f>
        <v>813.99445587606476</v>
      </c>
      <c r="H49" s="12">
        <f t="shared" si="1"/>
        <v>782.85032017298056</v>
      </c>
      <c r="I49" s="12">
        <f t="shared" si="0"/>
        <v>-5051.1288483834996</v>
      </c>
    </row>
    <row r="50" spans="1:9" x14ac:dyDescent="0.35">
      <c r="A50" s="58">
        <v>10</v>
      </c>
      <c r="B50" s="17" t="s">
        <v>179</v>
      </c>
      <c r="C50" s="9">
        <f>B27*(1-'Datos Técnicos'!B6)^5</f>
        <v>463.34352608505981</v>
      </c>
      <c r="D50" s="11">
        <f>INDEX('Datos Técnicos'!B20:Y23,E7,6)/100</f>
        <v>0.93</v>
      </c>
      <c r="E50" s="9">
        <f>C50*D50*'Datos Técnicos'!B5</f>
        <v>13099.64816947681</v>
      </c>
      <c r="F50" s="12">
        <f>E50*B8</f>
        <v>1571.9577803372172</v>
      </c>
      <c r="G50" s="12">
        <f>C50*B20/1000*'Datos Técnicos'!B5*B10+B14+B15+IF(B16&gt;0,B6*B16*B7,0)</f>
        <v>809.92448359668458</v>
      </c>
      <c r="H50" s="12">
        <f t="shared" si="1"/>
        <v>762.03329674053259</v>
      </c>
      <c r="I50" s="12">
        <f t="shared" si="0"/>
        <v>-4289.0955516429667</v>
      </c>
    </row>
    <row r="51" spans="1:9" x14ac:dyDescent="0.35">
      <c r="A51" s="58">
        <v>11</v>
      </c>
      <c r="B51" s="17" t="s">
        <v>179</v>
      </c>
      <c r="C51" s="9">
        <f>B27*(1-'Datos Técnicos'!B6)^6</f>
        <v>461.02680845463453</v>
      </c>
      <c r="D51" s="11">
        <f>INDEX('Datos Técnicos'!B20:Y23,E7,7)/100</f>
        <v>0.91</v>
      </c>
      <c r="E51" s="9">
        <f>C51*D51*'Datos Técnicos'!B5</f>
        <v>12753.84562908901</v>
      </c>
      <c r="F51" s="12">
        <f>E51*B8</f>
        <v>1530.4614754906811</v>
      </c>
      <c r="G51" s="12">
        <f>C51*B20/1000*'Datos Técnicos'!B5*B10+B14+B15+IF(B16&gt;0,B6*B16*B7,0)</f>
        <v>805.87486117870117</v>
      </c>
      <c r="H51" s="12">
        <f t="shared" si="1"/>
        <v>724.58661431197993</v>
      </c>
      <c r="I51" s="12">
        <f t="shared" si="0"/>
        <v>-3564.5089373309866</v>
      </c>
    </row>
    <row r="52" spans="1:9" x14ac:dyDescent="0.35">
      <c r="A52" s="58">
        <v>12</v>
      </c>
      <c r="B52" s="17" t="s">
        <v>179</v>
      </c>
      <c r="C52" s="9">
        <f>B27*(1-'Datos Técnicos'!B6)^7</f>
        <v>458.72167441236132</v>
      </c>
      <c r="D52" s="11">
        <f>INDEX('Datos Técnicos'!B20:Y23,E7,8)/100</f>
        <v>0.89</v>
      </c>
      <c r="E52" s="9">
        <f>C52*D52*'Datos Técnicos'!B5</f>
        <v>12411.173622900847</v>
      </c>
      <c r="F52" s="12">
        <f>E52*B8</f>
        <v>1489.3408347481015</v>
      </c>
      <c r="G52" s="12">
        <f>C52*B20/1000*'Datos Técnicos'!B5*B10+B14+B15+IF(B16&gt;0,B6*B16*B7,0)</f>
        <v>801.84548687280756</v>
      </c>
      <c r="H52" s="12">
        <f t="shared" si="1"/>
        <v>687.49534787529399</v>
      </c>
      <c r="I52" s="12">
        <f t="shared" si="0"/>
        <v>-2877.0135894556925</v>
      </c>
    </row>
    <row r="53" spans="1:9" x14ac:dyDescent="0.35">
      <c r="A53" s="58">
        <v>13</v>
      </c>
      <c r="B53" s="17" t="s">
        <v>179</v>
      </c>
      <c r="C53" s="9">
        <f>B27*(1-'Datos Técnicos'!B6)^8</f>
        <v>456.42806604029948</v>
      </c>
      <c r="D53" s="11">
        <f>INDEX('Datos Técnicos'!B20:Y23,E7,9)/100</f>
        <v>0.86</v>
      </c>
      <c r="E53" s="9">
        <f>C53*D53*'Datos Técnicos'!B5</f>
        <v>11932.855358557588</v>
      </c>
      <c r="F53" s="12">
        <f>E53*B8</f>
        <v>1431.9426430269104</v>
      </c>
      <c r="G53" s="12">
        <f>C53*B20/1000*'Datos Técnicos'!B5*B10+B14+B15+IF(B16&gt;0,B6*B16*B7,0)</f>
        <v>797.83625943844334</v>
      </c>
      <c r="H53" s="12">
        <f t="shared" si="1"/>
        <v>634.10638358846711</v>
      </c>
      <c r="I53" s="12">
        <f t="shared" si="0"/>
        <v>-2242.9072058672255</v>
      </c>
    </row>
    <row r="54" spans="1:9" x14ac:dyDescent="0.35">
      <c r="A54" s="58">
        <v>14</v>
      </c>
      <c r="B54" s="17" t="s">
        <v>179</v>
      </c>
      <c r="C54" s="9">
        <f>B27*(1-'Datos Técnicos'!B6)^9</f>
        <v>454.14592571009797</v>
      </c>
      <c r="D54" s="11">
        <f>INDEX('Datos Técnicos'!B20:Y23,E7,10)/100</f>
        <v>0.83</v>
      </c>
      <c r="E54" s="9">
        <f>C54*D54*'Datos Técnicos'!B5</f>
        <v>11459.009997517192</v>
      </c>
      <c r="F54" s="12">
        <f>E54*B8</f>
        <v>1375.081199702063</v>
      </c>
      <c r="G54" s="12">
        <f>C54*B20/1000*'Datos Técnicos'!B5*B10+B14+B15+IF(B16&gt;0,B6*B16*B7,0)</f>
        <v>793.84707814125113</v>
      </c>
      <c r="H54" s="12">
        <f t="shared" si="1"/>
        <v>581.2341215608119</v>
      </c>
      <c r="I54" s="12">
        <f t="shared" si="0"/>
        <v>-1661.6730843064136</v>
      </c>
    </row>
    <row r="55" spans="1:9" x14ac:dyDescent="0.35">
      <c r="A55" s="58">
        <v>15</v>
      </c>
      <c r="B55" s="17" t="s">
        <v>179</v>
      </c>
      <c r="C55" s="9">
        <f>B27*(1-'Datos Técnicos'!B6)^10</f>
        <v>451.87519608154753</v>
      </c>
      <c r="D55" s="11">
        <f>INDEX('Datos Técnicos'!B20:Y23,E7,11)/100</f>
        <v>0.79</v>
      </c>
      <c r="E55" s="9">
        <f>C55*D55*'Datos Técnicos'!B5</f>
        <v>10852.234709094446</v>
      </c>
      <c r="F55" s="12">
        <f>E55*B8</f>
        <v>1302.2681650913335</v>
      </c>
      <c r="G55" s="12">
        <f>C55*B20/1000*'Datos Técnicos'!B5*B10+B14+B15+IF(B16&gt;0,B6*B16*B7,0)</f>
        <v>789.87784275054503</v>
      </c>
      <c r="H55" s="12">
        <f t="shared" si="1"/>
        <v>512.39032234078843</v>
      </c>
      <c r="I55" s="12">
        <f t="shared" si="0"/>
        <v>-1149.282761965625</v>
      </c>
    </row>
    <row r="56" spans="1:9" x14ac:dyDescent="0.35">
      <c r="A56" s="58">
        <v>16</v>
      </c>
      <c r="B56" s="17" t="s">
        <v>179</v>
      </c>
      <c r="C56" s="9">
        <f>B27*(1-'Datos Técnicos'!B6)^11</f>
        <v>449.61582010113978</v>
      </c>
      <c r="D56" s="11">
        <f>INDEX('Datos Técnicos'!B20:Y23,E7,12)/100</f>
        <v>0.74</v>
      </c>
      <c r="E56" s="9">
        <f>C56*D56*'Datos Técnicos'!B5</f>
        <v>10114.557488995239</v>
      </c>
      <c r="F56" s="12">
        <f>E56*B8</f>
        <v>1213.7468986794286</v>
      </c>
      <c r="G56" s="12">
        <f>C56*B20/1000*'Datos Técnicos'!B5*B10+B14+B15+IF(B16&gt;0,B6*B16*B7,0)</f>
        <v>785.92845353679229</v>
      </c>
      <c r="H56" s="12">
        <f t="shared" si="1"/>
        <v>427.81844514263628</v>
      </c>
      <c r="I56" s="12">
        <f t="shared" si="0"/>
        <v>-721.46431682298874</v>
      </c>
    </row>
    <row r="57" spans="1:9" x14ac:dyDescent="0.35">
      <c r="A57" s="58">
        <v>17</v>
      </c>
      <c r="B57" s="17" t="s">
        <v>179</v>
      </c>
      <c r="C57" s="9">
        <f>B27*(1-'Datos Técnicos'!B6)^12</f>
        <v>447.36774100063411</v>
      </c>
      <c r="D57" s="11">
        <f>INDEX('Datos Técnicos'!B20:Y23,E7,13)/100</f>
        <v>0.71</v>
      </c>
      <c r="E57" s="9">
        <f>C57*D57*'Datos Técnicos'!B5</f>
        <v>9655.9853217576856</v>
      </c>
      <c r="F57" s="12">
        <f>E57*B8</f>
        <v>1158.7182386109223</v>
      </c>
      <c r="G57" s="12">
        <f>C57*B20/1000*'Datos Técnicos'!B5*B10+B14+B15+IF(B16&gt;0,B6*B16*B7,0)</f>
        <v>781.99881126910827</v>
      </c>
      <c r="H57" s="12">
        <f t="shared" si="1"/>
        <v>376.71942734181403</v>
      </c>
      <c r="I57" s="12">
        <f t="shared" si="0"/>
        <v>-344.74488948117471</v>
      </c>
    </row>
    <row r="58" spans="1:9" x14ac:dyDescent="0.35">
      <c r="A58" s="58">
        <v>18</v>
      </c>
      <c r="B58" s="17" t="s">
        <v>179</v>
      </c>
      <c r="C58" s="9">
        <f>B27*(1-'Datos Técnicos'!B6)^13</f>
        <v>445.13090229563096</v>
      </c>
      <c r="D58" s="11">
        <f>INDEX('Datos Técnicos'!B20:Y23,E7,14)/100</f>
        <v>0.68</v>
      </c>
      <c r="E58" s="9">
        <f>C58*D58*'Datos Técnicos'!B5</f>
        <v>9201.7460122552839</v>
      </c>
      <c r="F58" s="12">
        <f>E58*B8</f>
        <v>1104.2095214706339</v>
      </c>
      <c r="G58" s="12">
        <f>C58*B20/1000*'Datos Técnicos'!B5*B10+B14+B15+IF(B16&gt;0,B6*B16*B7,0)</f>
        <v>778.08881721276293</v>
      </c>
      <c r="H58" s="12">
        <f t="shared" si="1"/>
        <v>326.12070425787101</v>
      </c>
      <c r="I58" s="12">
        <f t="shared" si="0"/>
        <v>-18.624185223303698</v>
      </c>
    </row>
    <row r="59" spans="1:9" x14ac:dyDescent="0.35">
      <c r="A59" s="58">
        <v>19</v>
      </c>
      <c r="B59" s="17" t="s">
        <v>179</v>
      </c>
      <c r="C59" s="9">
        <f>B27*(1-'Datos Técnicos'!B6)^14</f>
        <v>442.90524778415283</v>
      </c>
      <c r="D59" s="11">
        <f>INDEX('Datos Técnicos'!B20:Y23,E7,15)/100</f>
        <v>0.64</v>
      </c>
      <c r="E59" s="9">
        <f>C59*D59*'Datos Técnicos'!B5</f>
        <v>8617.1645008884771</v>
      </c>
      <c r="F59" s="12">
        <f>E59*B8</f>
        <v>1034.0597401066173</v>
      </c>
      <c r="G59" s="12">
        <f>C59*B20/1000*'Datos Técnicos'!B5*B10+B14+B15+IF(B16&gt;0,B6*B16*B7,0)</f>
        <v>774.19837312669904</v>
      </c>
      <c r="H59" s="12">
        <f t="shared" si="1"/>
        <v>259.86136697991822</v>
      </c>
      <c r="I59" s="12">
        <f t="shared" si="0"/>
        <v>241.23718175661452</v>
      </c>
    </row>
    <row r="60" spans="1:9" x14ac:dyDescent="0.35">
      <c r="A60" s="58">
        <v>20</v>
      </c>
      <c r="B60" s="17" t="s">
        <v>179</v>
      </c>
      <c r="C60" s="9">
        <f>B27*(1-'Datos Técnicos'!B6)^15</f>
        <v>440.69072154523207</v>
      </c>
      <c r="D60" s="11">
        <f>INDEX('Datos Técnicos'!B20:Y23,E7,16)/100</f>
        <v>0.6</v>
      </c>
      <c r="E60" s="9">
        <f>C60*D60*'Datos Técnicos'!B5</f>
        <v>8038.1987609850321</v>
      </c>
      <c r="F60" s="12">
        <f>E60*B8</f>
        <v>964.58385131820387</v>
      </c>
      <c r="G60" s="12">
        <f>C60*B20/1000*'Datos Técnicos'!B5*B10+B14+B15+IF(B16&gt;0,B6*B16*B7,0)</f>
        <v>770.32738126106563</v>
      </c>
      <c r="H60" s="12">
        <f t="shared" si="1"/>
        <v>194.25647005713824</v>
      </c>
      <c r="I60" s="12">
        <f t="shared" si="0"/>
        <v>435.49365181375276</v>
      </c>
    </row>
    <row r="61" spans="1:9" x14ac:dyDescent="0.35">
      <c r="A61" s="58">
        <v>21</v>
      </c>
      <c r="B61" s="17" t="s">
        <v>179</v>
      </c>
      <c r="C61" s="9">
        <f>B27*(1-'Datos Técnicos'!B6)^16</f>
        <v>438.48726793750586</v>
      </c>
      <c r="D61" s="11">
        <f>INDEX('Datos Técnicos'!B20:Y23,E7,17)/100</f>
        <v>0.56999999999999995</v>
      </c>
      <c r="E61" s="9">
        <f>C61*D61*'Datos Técnicos'!B5</f>
        <v>7598.1073788211006</v>
      </c>
      <c r="F61" s="12">
        <f>E61*B8</f>
        <v>911.77288545853207</v>
      </c>
      <c r="G61" s="12">
        <f>C61*B20/1000*'Datos Técnicos'!B5*B10+B14+B15+IF(B16&gt;0,B6*B16*B7,0)</f>
        <v>766.4757443547602</v>
      </c>
      <c r="H61" s="12">
        <f t="shared" si="1"/>
        <v>145.29714110377188</v>
      </c>
      <c r="I61" s="12">
        <f t="shared" si="0"/>
        <v>580.79079291752464</v>
      </c>
    </row>
    <row r="62" spans="1:9" x14ac:dyDescent="0.35">
      <c r="A62" s="58">
        <v>22</v>
      </c>
      <c r="B62" s="17" t="s">
        <v>179</v>
      </c>
      <c r="C62" s="9">
        <f>B27*(1-'Datos Técnicos'!B6)^17</f>
        <v>436.29483159781836</v>
      </c>
      <c r="D62" s="11">
        <f>INDEX('Datos Técnicos'!B20:Y23,E7,18)/100</f>
        <v>0.54</v>
      </c>
      <c r="E62" s="9">
        <f>C62*D62*'Datos Técnicos'!B5</f>
        <v>7162.215955509786</v>
      </c>
      <c r="F62" s="12">
        <f>E62*B8</f>
        <v>859.46591466117434</v>
      </c>
      <c r="G62" s="12">
        <f>C62*B20/1000*'Datos Técnicos'!B5*B10+B14+B15+IF(B16&gt;0,B6*B16*B7,0)</f>
        <v>762.6433656329865</v>
      </c>
      <c r="H62" s="12">
        <f t="shared" si="1"/>
        <v>96.822549028187836</v>
      </c>
      <c r="I62" s="12">
        <f t="shared" si="0"/>
        <v>677.61334194571248</v>
      </c>
    </row>
    <row r="63" spans="1:9" x14ac:dyDescent="0.35">
      <c r="A63" s="58">
        <v>23</v>
      </c>
      <c r="B63" s="17" t="s">
        <v>179</v>
      </c>
      <c r="C63" s="9">
        <f>B27*(1-'Datos Técnicos'!B6)^18</f>
        <v>434.11335743982926</v>
      </c>
      <c r="D63" s="11">
        <f>INDEX('Datos Técnicos'!B20:Y23,E7,19)/100</f>
        <v>0.5</v>
      </c>
      <c r="E63" s="9">
        <f>C63*D63*'Datos Técnicos'!B5</f>
        <v>6598.5230330854047</v>
      </c>
      <c r="F63" s="12">
        <f>E63*B8</f>
        <v>791.8227639702485</v>
      </c>
      <c r="G63" s="12">
        <f>C63*B20/1000*'Datos Técnicos'!B5*B10+B14+B15+IF(B16&gt;0,B6*B16*B7,0)</f>
        <v>758.83014880482153</v>
      </c>
      <c r="H63" s="12">
        <f t="shared" si="1"/>
        <v>32.992615165426969</v>
      </c>
      <c r="I63" s="12">
        <f t="shared" si="0"/>
        <v>710.60595711113945</v>
      </c>
    </row>
    <row r="64" spans="1:9" x14ac:dyDescent="0.35">
      <c r="A64" s="58">
        <v>24</v>
      </c>
      <c r="B64" s="17" t="s">
        <v>179</v>
      </c>
      <c r="C64" s="9">
        <f>B27*(1-'Datos Técnicos'!B6)^19</f>
        <v>431.94279065263009</v>
      </c>
      <c r="D64" s="11">
        <f>INDEX('Datos Técnicos'!B20:Y23,E7,20)/100</f>
        <v>0.47</v>
      </c>
      <c r="E64" s="9">
        <f>C64*D64*'Datos Técnicos'!B5</f>
        <v>6171.598592844779</v>
      </c>
      <c r="F64" s="12">
        <f>E64*B8</f>
        <v>740.5918311413734</v>
      </c>
      <c r="G64" s="12">
        <f>C64*B20/1000*'Datos Técnicos'!B5*B10+B14+B15+IF(B16&gt;0,B6*B16*B7,0)</f>
        <v>755.0359980607974</v>
      </c>
      <c r="H64" s="12">
        <f t="shared" si="1"/>
        <v>-14.444166919423992</v>
      </c>
      <c r="I64" s="12">
        <f t="shared" si="0"/>
        <v>696.16179019171545</v>
      </c>
    </row>
    <row r="65" spans="1:9" x14ac:dyDescent="0.35">
      <c r="A65" s="58">
        <v>25</v>
      </c>
      <c r="B65" s="17" t="s">
        <v>179</v>
      </c>
      <c r="C65" s="9">
        <f>B27*(1-'Datos Técnicos'!B6)^20</f>
        <v>429.78307669936697</v>
      </c>
      <c r="D65" s="11">
        <f>INDEX('Datos Técnicos'!B20:Y23,E7,21)/100</f>
        <v>0.44</v>
      </c>
      <c r="E65" s="9">
        <f>C65*D65*'Datos Técnicos'!B5</f>
        <v>5748.7784339307327</v>
      </c>
      <c r="F65" s="12">
        <f>E65*B8</f>
        <v>689.8534120716879</v>
      </c>
      <c r="G65" s="12">
        <f>C65*B20/1000*'Datos Técnicos'!B5*B10+B14+B15+IF(B16&gt;0,B6*B16*B7,0)</f>
        <v>751.26081807049343</v>
      </c>
      <c r="H65" s="12">
        <f t="shared" si="1"/>
        <v>-61.40740599880553</v>
      </c>
      <c r="I65" s="12">
        <f t="shared" si="0"/>
        <v>634.75438419290992</v>
      </c>
    </row>
    <row r="66" spans="1:9" x14ac:dyDescent="0.35">
      <c r="A66" s="58">
        <v>26</v>
      </c>
      <c r="B66" s="17" t="s">
        <v>179</v>
      </c>
      <c r="C66" s="9">
        <f>B27*(1-'Datos Técnicos'!B6)^21</f>
        <v>427.63416131587013</v>
      </c>
      <c r="D66" s="11">
        <f>INDEX('Datos Técnicos'!B20:Y23,E7,22)/100</f>
        <v>0.41</v>
      </c>
      <c r="E66" s="9">
        <f>C66*D66*'Datos Técnicos'!B5</f>
        <v>5330.032186641005</v>
      </c>
      <c r="F66" s="12">
        <f>E66*B8</f>
        <v>639.60386239692059</v>
      </c>
      <c r="G66" s="12">
        <f>C66*B20/1000*'Datos Técnicos'!B5*B10+B14+B15+IF(B16&gt;0,B6*B16*B7,0)</f>
        <v>747.50451398014093</v>
      </c>
      <c r="H66" s="12">
        <f t="shared" si="1"/>
        <v>-107.90065158322034</v>
      </c>
      <c r="I66" s="12">
        <f t="shared" si="0"/>
        <v>526.85373260968959</v>
      </c>
    </row>
    <row r="67" spans="1:9" x14ac:dyDescent="0.35">
      <c r="A67" s="58">
        <v>27</v>
      </c>
      <c r="B67" s="17" t="s">
        <v>179</v>
      </c>
      <c r="C67" s="9">
        <f>B27*(1-'Datos Técnicos'!B6)^22</f>
        <v>425.49599050929078</v>
      </c>
      <c r="D67" s="11">
        <f>INDEX('Datos Técnicos'!B20:Y23,E7,23)/100</f>
        <v>0.38</v>
      </c>
      <c r="E67" s="9">
        <f>C67*D67*'Datos Técnicos'!B5</f>
        <v>4915.3296823633264</v>
      </c>
      <c r="F67" s="12">
        <f>E67*B8</f>
        <v>589.83956188359912</v>
      </c>
      <c r="G67" s="12">
        <f>C67*B20/1000*'Datos Técnicos'!B5*B10+B14+B15+IF(B16&gt;0,B6*B16*B7,0)</f>
        <v>743.76699141024017</v>
      </c>
      <c r="H67" s="12">
        <f t="shared" si="1"/>
        <v>-153.92742952664105</v>
      </c>
      <c r="I67" s="12">
        <f t="shared" si="0"/>
        <v>372.92630308304854</v>
      </c>
    </row>
    <row r="68" spans="1:9" x14ac:dyDescent="0.35">
      <c r="A68" s="58">
        <v>28</v>
      </c>
      <c r="B68" s="17" t="s">
        <v>179</v>
      </c>
      <c r="C68" s="9">
        <f>B27*(1-'Datos Técnicos'!B6)^23</f>
        <v>423.3685105567443</v>
      </c>
      <c r="D68" s="11">
        <f>INDEX('Datos Técnicos'!B20:Y23,E7,24)/100</f>
        <v>0.35</v>
      </c>
      <c r="E68" s="9">
        <f>C68*D68*'Datos Técnicos'!B5</f>
        <v>4504.6409523237589</v>
      </c>
      <c r="F68" s="12">
        <f>E68*B8</f>
        <v>540.55691427885108</v>
      </c>
      <c r="G68" s="12">
        <f>C68*B20/1000*'Datos Técnicos'!B5*B10+B14+B15+IF(B16&gt;0,B6*B16*B7,0)</f>
        <v>740.04815645318911</v>
      </c>
      <c r="H68" s="12">
        <f t="shared" si="1"/>
        <v>-199.49124217433803</v>
      </c>
      <c r="I68" s="12">
        <f t="shared" si="0"/>
        <v>173.43506090871051</v>
      </c>
    </row>
  </sheetData>
  <sheetProtection algorithmName="SHA-512" hashValue="cfHLckt+OYAscv5GsvTixPTaBvyA38euX4ql/nFbqu9/JGzP76DiTF3LJmtPC/rw7uv12XMXjETuWiVveN74yA==" saltValue="wRqTXARstvVrVtbgI0rETQ==" spinCount="100000" sheet="1" objects="1" scenarios="1" selectLockedCells="1"/>
  <mergeCells count="4">
    <mergeCell ref="A2:H2"/>
    <mergeCell ref="A3:H3"/>
    <mergeCell ref="D6:G6"/>
    <mergeCell ref="A39:H39"/>
  </mergeCells>
  <conditionalFormatting sqref="H41:I6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B7355"/>
  </sheetPr>
  <dimension ref="A1:Y31"/>
  <sheetViews>
    <sheetView tabSelected="1" zoomScaleNormal="100" workbookViewId="0">
      <pane ySplit="2" topLeftCell="A3" activePane="bottomLeft" state="frozen"/>
      <selection pane="bottomLeft" activeCell="B6" sqref="B6"/>
    </sheetView>
  </sheetViews>
  <sheetFormatPr baseColWidth="10" defaultColWidth="8.6328125" defaultRowHeight="14.5" x14ac:dyDescent="0.35"/>
  <cols>
    <col min="1" max="1" width="42" customWidth="1"/>
    <col min="2" max="25" width="12" customWidth="1"/>
  </cols>
  <sheetData>
    <row r="1" spans="1:25" ht="22" customHeight="1" x14ac:dyDescent="0.4">
      <c r="A1" s="60" t="s">
        <v>180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7" t="s">
        <v>230</v>
      </c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20" x14ac:dyDescent="0.4">
      <c r="A2" s="62" t="s">
        <v>0</v>
      </c>
      <c r="B2" s="62"/>
      <c r="C2" s="62"/>
      <c r="D2" s="62"/>
      <c r="E2" s="62"/>
      <c r="F2" s="62"/>
      <c r="G2" s="62"/>
      <c r="H2" s="62"/>
    </row>
    <row r="4" spans="1:25" ht="15.5" x14ac:dyDescent="0.35">
      <c r="A4" s="2" t="s">
        <v>1</v>
      </c>
    </row>
    <row r="5" spans="1:25" x14ac:dyDescent="0.35">
      <c r="A5" s="1" t="s">
        <v>2</v>
      </c>
      <c r="B5" s="27">
        <v>30.4</v>
      </c>
    </row>
    <row r="6" spans="1:25" x14ac:dyDescent="0.35">
      <c r="A6" s="1" t="s">
        <v>3</v>
      </c>
      <c r="B6" s="27">
        <v>5.0000000000000001E-3</v>
      </c>
    </row>
    <row r="7" spans="1:25" x14ac:dyDescent="0.35">
      <c r="A7" s="1" t="s">
        <v>4</v>
      </c>
      <c r="B7" s="27">
        <v>3.0000000000000001E-3</v>
      </c>
    </row>
    <row r="8" spans="1:25" x14ac:dyDescent="0.35">
      <c r="A8" s="1" t="s">
        <v>5</v>
      </c>
      <c r="B8" s="27">
        <v>17</v>
      </c>
    </row>
    <row r="10" spans="1:25" ht="15.5" x14ac:dyDescent="0.35">
      <c r="A10" s="2" t="s">
        <v>6</v>
      </c>
    </row>
    <row r="11" spans="1:25" ht="23" x14ac:dyDescent="0.35">
      <c r="A11" s="3" t="s">
        <v>7</v>
      </c>
      <c r="B11" s="3" t="s">
        <v>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13</v>
      </c>
      <c r="H11" s="3" t="s">
        <v>14</v>
      </c>
      <c r="I11" s="3" t="s">
        <v>15</v>
      </c>
      <c r="J11" s="3" t="s">
        <v>16</v>
      </c>
      <c r="K11" s="3" t="s">
        <v>17</v>
      </c>
      <c r="L11" s="3" t="s">
        <v>18</v>
      </c>
      <c r="M11" s="3" t="s">
        <v>19</v>
      </c>
      <c r="N11" s="3" t="s">
        <v>20</v>
      </c>
      <c r="O11" s="3" t="s">
        <v>21</v>
      </c>
      <c r="P11" s="3" t="s">
        <v>22</v>
      </c>
      <c r="Q11" s="3" t="s">
        <v>23</v>
      </c>
      <c r="R11" s="3" t="s">
        <v>24</v>
      </c>
    </row>
    <row r="12" spans="1:25" x14ac:dyDescent="0.35">
      <c r="A12" s="4" t="s">
        <v>25</v>
      </c>
      <c r="B12" s="4" t="s">
        <v>26</v>
      </c>
      <c r="C12" s="4" t="s">
        <v>27</v>
      </c>
      <c r="D12" s="4">
        <v>115</v>
      </c>
      <c r="E12" s="4">
        <v>1.8</v>
      </c>
      <c r="F12" s="4">
        <v>0.1</v>
      </c>
      <c r="G12" s="4">
        <v>5.5E-2</v>
      </c>
      <c r="H12" s="4">
        <v>0.25</v>
      </c>
      <c r="I12" s="4">
        <v>0.06</v>
      </c>
      <c r="J12" s="4">
        <v>10</v>
      </c>
      <c r="K12" s="4">
        <v>30</v>
      </c>
      <c r="L12" s="4">
        <v>8</v>
      </c>
      <c r="M12" s="4">
        <v>80</v>
      </c>
      <c r="N12" s="4">
        <v>10</v>
      </c>
      <c r="O12" s="4">
        <v>5</v>
      </c>
      <c r="P12" s="4">
        <v>92</v>
      </c>
      <c r="Q12" s="4">
        <v>96</v>
      </c>
      <c r="R12" s="4">
        <v>72</v>
      </c>
    </row>
    <row r="13" spans="1:25" x14ac:dyDescent="0.35">
      <c r="A13" s="4" t="s">
        <v>28</v>
      </c>
      <c r="B13" s="4" t="s">
        <v>26</v>
      </c>
      <c r="C13" s="4" t="s">
        <v>29</v>
      </c>
      <c r="D13" s="4">
        <v>115</v>
      </c>
      <c r="E13" s="4">
        <v>1.8</v>
      </c>
      <c r="F13" s="4">
        <v>0.1</v>
      </c>
      <c r="G13" s="4">
        <v>5.5E-2</v>
      </c>
      <c r="H13" s="4">
        <v>0.25</v>
      </c>
      <c r="I13" s="4">
        <v>0.06</v>
      </c>
      <c r="J13" s="4">
        <v>10</v>
      </c>
      <c r="K13" s="4">
        <v>30</v>
      </c>
      <c r="L13" s="4">
        <v>8</v>
      </c>
      <c r="M13" s="4">
        <v>80</v>
      </c>
      <c r="N13" s="4">
        <v>10</v>
      </c>
      <c r="O13" s="4">
        <v>5</v>
      </c>
      <c r="P13" s="4">
        <v>92</v>
      </c>
      <c r="Q13" s="4">
        <v>96</v>
      </c>
      <c r="R13" s="4">
        <v>72</v>
      </c>
    </row>
    <row r="14" spans="1:25" x14ac:dyDescent="0.35">
      <c r="A14" s="4" t="s">
        <v>30</v>
      </c>
      <c r="B14" s="4" t="s">
        <v>31</v>
      </c>
      <c r="C14" s="4" t="s">
        <v>27</v>
      </c>
      <c r="D14" s="4">
        <v>100</v>
      </c>
      <c r="E14" s="4">
        <v>1.8</v>
      </c>
      <c r="F14" s="4">
        <v>0.09</v>
      </c>
      <c r="G14" s="4">
        <v>4.4999999999999998E-2</v>
      </c>
      <c r="H14" s="4">
        <v>0.22</v>
      </c>
      <c r="I14" s="4">
        <v>5.5E-2</v>
      </c>
      <c r="J14" s="4">
        <v>10</v>
      </c>
      <c r="K14" s="4">
        <v>30</v>
      </c>
      <c r="L14" s="4">
        <v>8</v>
      </c>
      <c r="M14" s="4">
        <v>80</v>
      </c>
      <c r="N14" s="4">
        <v>10</v>
      </c>
      <c r="O14" s="4">
        <v>5</v>
      </c>
      <c r="P14" s="4">
        <v>93</v>
      </c>
      <c r="Q14" s="4">
        <v>97</v>
      </c>
      <c r="R14" s="4">
        <v>74</v>
      </c>
    </row>
    <row r="15" spans="1:25" x14ac:dyDescent="0.35">
      <c r="A15" s="4" t="s">
        <v>32</v>
      </c>
      <c r="B15" s="4" t="s">
        <v>31</v>
      </c>
      <c r="C15" s="4" t="s">
        <v>29</v>
      </c>
      <c r="D15" s="4">
        <v>100</v>
      </c>
      <c r="E15" s="4">
        <v>1.8</v>
      </c>
      <c r="F15" s="4">
        <v>0.09</v>
      </c>
      <c r="G15" s="4">
        <v>4.4999999999999998E-2</v>
      </c>
      <c r="H15" s="4">
        <v>0.22</v>
      </c>
      <c r="I15" s="4">
        <v>5.5E-2</v>
      </c>
      <c r="J15" s="4">
        <v>10</v>
      </c>
      <c r="K15" s="4">
        <v>30</v>
      </c>
      <c r="L15" s="4">
        <v>8</v>
      </c>
      <c r="M15" s="4">
        <v>80</v>
      </c>
      <c r="N15" s="4">
        <v>10</v>
      </c>
      <c r="O15" s="4">
        <v>5</v>
      </c>
      <c r="P15" s="4">
        <v>93</v>
      </c>
      <c r="Q15" s="4">
        <v>97</v>
      </c>
      <c r="R15" s="4">
        <v>74</v>
      </c>
    </row>
    <row r="18" spans="1:25" ht="15.5" x14ac:dyDescent="0.35">
      <c r="A18" s="2" t="s">
        <v>33</v>
      </c>
    </row>
    <row r="19" spans="1:25" x14ac:dyDescent="0.35">
      <c r="A19" s="3" t="s">
        <v>7</v>
      </c>
      <c r="B19" s="3" t="s">
        <v>34</v>
      </c>
      <c r="C19" s="3" t="s">
        <v>35</v>
      </c>
      <c r="D19" s="3" t="s">
        <v>36</v>
      </c>
      <c r="E19" s="3" t="s">
        <v>37</v>
      </c>
      <c r="F19" s="3" t="s">
        <v>38</v>
      </c>
      <c r="G19" s="3" t="s">
        <v>39</v>
      </c>
      <c r="H19" s="3" t="s">
        <v>40</v>
      </c>
      <c r="I19" s="3" t="s">
        <v>41</v>
      </c>
      <c r="J19" s="3" t="s">
        <v>42</v>
      </c>
      <c r="K19" s="3" t="s">
        <v>43</v>
      </c>
      <c r="L19" s="3" t="s">
        <v>44</v>
      </c>
      <c r="M19" s="3" t="s">
        <v>45</v>
      </c>
      <c r="N19" s="3" t="s">
        <v>46</v>
      </c>
      <c r="O19" s="3" t="s">
        <v>47</v>
      </c>
      <c r="P19" s="3" t="s">
        <v>48</v>
      </c>
      <c r="Q19" s="3" t="s">
        <v>49</v>
      </c>
      <c r="R19" s="3" t="s">
        <v>50</v>
      </c>
      <c r="S19" s="3" t="s">
        <v>51</v>
      </c>
      <c r="T19" s="3" t="s">
        <v>52</v>
      </c>
      <c r="U19" s="3" t="s">
        <v>53</v>
      </c>
      <c r="V19" s="3" t="s">
        <v>54</v>
      </c>
      <c r="W19" s="3" t="s">
        <v>55</v>
      </c>
      <c r="X19" s="3" t="s">
        <v>56</v>
      </c>
      <c r="Y19" s="3" t="s">
        <v>57</v>
      </c>
    </row>
    <row r="20" spans="1:25" x14ac:dyDescent="0.35">
      <c r="A20" s="4" t="s">
        <v>25</v>
      </c>
      <c r="B20" s="4">
        <v>62</v>
      </c>
      <c r="C20" s="4">
        <v>92</v>
      </c>
      <c r="D20" s="4">
        <v>95</v>
      </c>
      <c r="E20" s="4">
        <v>95</v>
      </c>
      <c r="F20" s="4">
        <v>94</v>
      </c>
      <c r="G20" s="4">
        <v>93</v>
      </c>
      <c r="H20" s="4">
        <v>91</v>
      </c>
      <c r="I20" s="4">
        <v>89</v>
      </c>
      <c r="J20" s="4">
        <v>86</v>
      </c>
      <c r="K20" s="4">
        <v>83</v>
      </c>
      <c r="L20" s="4">
        <v>79</v>
      </c>
      <c r="M20" s="4">
        <v>74</v>
      </c>
      <c r="N20" s="4">
        <v>71</v>
      </c>
      <c r="O20" s="4">
        <v>68</v>
      </c>
      <c r="P20" s="4">
        <v>64</v>
      </c>
      <c r="Q20" s="4">
        <v>60</v>
      </c>
      <c r="R20" s="4">
        <v>57</v>
      </c>
      <c r="S20" s="4">
        <v>54</v>
      </c>
      <c r="T20" s="4">
        <v>50</v>
      </c>
      <c r="U20" s="4">
        <v>47</v>
      </c>
      <c r="V20" s="4">
        <v>44</v>
      </c>
      <c r="W20" s="4">
        <v>41</v>
      </c>
      <c r="X20" s="4">
        <v>38</v>
      </c>
      <c r="Y20" s="4">
        <v>35</v>
      </c>
    </row>
    <row r="21" spans="1:25" x14ac:dyDescent="0.35">
      <c r="A21" s="4" t="s">
        <v>28</v>
      </c>
      <c r="B21" s="4">
        <v>60</v>
      </c>
      <c r="C21" s="4">
        <v>91</v>
      </c>
      <c r="D21" s="4">
        <v>94</v>
      </c>
      <c r="E21" s="4">
        <v>95</v>
      </c>
      <c r="F21" s="4">
        <v>94</v>
      </c>
      <c r="G21" s="4">
        <v>92</v>
      </c>
      <c r="H21" s="4">
        <v>90</v>
      </c>
      <c r="I21" s="4">
        <v>88</v>
      </c>
      <c r="J21" s="4">
        <v>85</v>
      </c>
      <c r="K21" s="4">
        <v>82</v>
      </c>
      <c r="L21" s="4">
        <v>78</v>
      </c>
      <c r="M21" s="4">
        <v>74</v>
      </c>
      <c r="N21" s="4">
        <v>70</v>
      </c>
      <c r="O21" s="4">
        <v>67</v>
      </c>
      <c r="P21" s="4">
        <v>63</v>
      </c>
      <c r="Q21" s="4">
        <v>59</v>
      </c>
      <c r="R21" s="4">
        <v>56</v>
      </c>
      <c r="S21" s="4">
        <v>53</v>
      </c>
      <c r="T21" s="4">
        <v>50</v>
      </c>
      <c r="U21" s="4">
        <v>47</v>
      </c>
      <c r="V21" s="4">
        <v>44</v>
      </c>
      <c r="W21" s="4">
        <v>41</v>
      </c>
      <c r="X21" s="4">
        <v>38</v>
      </c>
      <c r="Y21" s="4">
        <v>35</v>
      </c>
    </row>
    <row r="22" spans="1:25" x14ac:dyDescent="0.35">
      <c r="A22" s="4" t="s">
        <v>30</v>
      </c>
      <c r="B22" s="4">
        <v>64</v>
      </c>
      <c r="C22" s="4">
        <v>93</v>
      </c>
      <c r="D22" s="4">
        <v>96</v>
      </c>
      <c r="E22" s="4">
        <v>96</v>
      </c>
      <c r="F22" s="4">
        <v>95</v>
      </c>
      <c r="G22" s="4">
        <v>94</v>
      </c>
      <c r="H22" s="4">
        <v>92</v>
      </c>
      <c r="I22" s="4">
        <v>90</v>
      </c>
      <c r="J22" s="4">
        <v>87</v>
      </c>
      <c r="K22" s="4">
        <v>84</v>
      </c>
      <c r="L22" s="4">
        <v>80</v>
      </c>
      <c r="M22" s="4">
        <v>76</v>
      </c>
      <c r="N22" s="4">
        <v>73</v>
      </c>
      <c r="O22" s="4">
        <v>69</v>
      </c>
      <c r="P22" s="4">
        <v>66</v>
      </c>
      <c r="Q22" s="4">
        <v>62</v>
      </c>
      <c r="R22" s="4">
        <v>58</v>
      </c>
      <c r="S22" s="4">
        <v>55</v>
      </c>
      <c r="T22" s="4">
        <v>52</v>
      </c>
      <c r="U22" s="4">
        <v>49</v>
      </c>
      <c r="V22" s="4">
        <v>46</v>
      </c>
      <c r="W22" s="4">
        <v>43</v>
      </c>
      <c r="X22" s="4">
        <v>40</v>
      </c>
      <c r="Y22" s="4">
        <v>37</v>
      </c>
    </row>
    <row r="23" spans="1:25" x14ac:dyDescent="0.35">
      <c r="A23" s="4" t="s">
        <v>32</v>
      </c>
      <c r="B23" s="4">
        <v>63</v>
      </c>
      <c r="C23" s="4">
        <v>92</v>
      </c>
      <c r="D23" s="4">
        <v>96</v>
      </c>
      <c r="E23" s="4">
        <v>96</v>
      </c>
      <c r="F23" s="4">
        <v>95</v>
      </c>
      <c r="G23" s="4">
        <v>93</v>
      </c>
      <c r="H23" s="4">
        <v>91</v>
      </c>
      <c r="I23" s="4">
        <v>89</v>
      </c>
      <c r="J23" s="4">
        <v>86</v>
      </c>
      <c r="K23" s="4">
        <v>83</v>
      </c>
      <c r="L23" s="4">
        <v>79</v>
      </c>
      <c r="M23" s="4">
        <v>75</v>
      </c>
      <c r="N23" s="4">
        <v>72</v>
      </c>
      <c r="O23" s="4">
        <v>68</v>
      </c>
      <c r="P23" s="4">
        <v>65</v>
      </c>
      <c r="Q23" s="4">
        <v>61</v>
      </c>
      <c r="R23" s="4">
        <v>58</v>
      </c>
      <c r="S23" s="4">
        <v>54</v>
      </c>
      <c r="T23" s="4">
        <v>51</v>
      </c>
      <c r="U23" s="4">
        <v>48</v>
      </c>
      <c r="V23" s="4">
        <v>45</v>
      </c>
      <c r="W23" s="4">
        <v>42</v>
      </c>
      <c r="X23" s="4">
        <v>39</v>
      </c>
      <c r="Y23" s="4">
        <v>36</v>
      </c>
    </row>
    <row r="26" spans="1:25" ht="15.5" x14ac:dyDescent="0.35">
      <c r="A26" s="2" t="s">
        <v>58</v>
      </c>
    </row>
    <row r="27" spans="1:25" x14ac:dyDescent="0.35">
      <c r="A27" s="3" t="s">
        <v>8</v>
      </c>
      <c r="B27" s="3" t="s">
        <v>59</v>
      </c>
      <c r="C27" s="3" t="s">
        <v>60</v>
      </c>
      <c r="D27" s="3" t="s">
        <v>61</v>
      </c>
      <c r="E27" s="3" t="s">
        <v>62</v>
      </c>
      <c r="F27" s="3" t="s">
        <v>63</v>
      </c>
      <c r="G27" s="3" t="s">
        <v>64</v>
      </c>
      <c r="H27" s="3" t="s">
        <v>65</v>
      </c>
      <c r="I27" s="3" t="s">
        <v>66</v>
      </c>
      <c r="J27" s="3" t="s">
        <v>67</v>
      </c>
      <c r="K27" s="3" t="s">
        <v>68</v>
      </c>
      <c r="L27" s="3" t="s">
        <v>69</v>
      </c>
      <c r="M27" s="3" t="s">
        <v>70</v>
      </c>
      <c r="N27" s="3" t="s">
        <v>71</v>
      </c>
      <c r="O27" s="3" t="s">
        <v>72</v>
      </c>
      <c r="P27" s="3" t="s">
        <v>73</v>
      </c>
      <c r="Q27" s="3" t="s">
        <v>74</v>
      </c>
      <c r="R27" s="3" t="s">
        <v>75</v>
      </c>
    </row>
    <row r="28" spans="1:25" x14ac:dyDescent="0.35">
      <c r="A28" s="4" t="s">
        <v>76</v>
      </c>
      <c r="B28" s="4">
        <v>10</v>
      </c>
      <c r="C28" s="4">
        <v>18</v>
      </c>
      <c r="D28" s="4">
        <v>28</v>
      </c>
      <c r="E28" s="4">
        <v>36</v>
      </c>
      <c r="F28" s="4">
        <v>44</v>
      </c>
      <c r="G28" s="4">
        <v>52</v>
      </c>
      <c r="H28" s="4">
        <v>58</v>
      </c>
      <c r="I28" s="4">
        <v>64</v>
      </c>
      <c r="J28" s="4">
        <v>68</v>
      </c>
      <c r="K28" s="4">
        <v>72</v>
      </c>
      <c r="L28" s="4">
        <v>76</v>
      </c>
      <c r="M28" s="4">
        <v>80</v>
      </c>
      <c r="N28" s="4">
        <v>84</v>
      </c>
      <c r="O28" s="4">
        <v>88</v>
      </c>
      <c r="P28" s="4">
        <v>92</v>
      </c>
      <c r="Q28" s="4">
        <v>96</v>
      </c>
      <c r="R28" s="4">
        <v>100</v>
      </c>
    </row>
    <row r="29" spans="1:25" x14ac:dyDescent="0.35">
      <c r="A29" s="4" t="s">
        <v>77</v>
      </c>
      <c r="B29" s="4">
        <v>10</v>
      </c>
      <c r="C29" s="4">
        <v>17</v>
      </c>
      <c r="D29" s="4">
        <v>26</v>
      </c>
      <c r="E29" s="4">
        <v>34</v>
      </c>
      <c r="F29" s="4">
        <v>42</v>
      </c>
      <c r="G29" s="4">
        <v>49</v>
      </c>
      <c r="H29" s="4">
        <v>55</v>
      </c>
      <c r="I29" s="4">
        <v>60</v>
      </c>
      <c r="J29" s="4">
        <v>64</v>
      </c>
      <c r="K29" s="4">
        <v>68</v>
      </c>
      <c r="L29" s="4">
        <v>72</v>
      </c>
      <c r="M29" s="4">
        <v>75</v>
      </c>
      <c r="N29" s="4">
        <v>78</v>
      </c>
      <c r="O29" s="4">
        <v>81</v>
      </c>
      <c r="P29" s="4">
        <v>84</v>
      </c>
      <c r="Q29" s="4">
        <v>87</v>
      </c>
      <c r="R29" s="4">
        <v>90</v>
      </c>
    </row>
    <row r="31" spans="1:25" x14ac:dyDescent="0.35">
      <c r="A31" s="63" t="s">
        <v>78</v>
      </c>
      <c r="B31" s="63"/>
      <c r="C31" s="63"/>
      <c r="D31" s="63"/>
      <c r="E31" s="63"/>
      <c r="F31" s="63"/>
      <c r="G31" s="63"/>
      <c r="H31" s="63"/>
    </row>
  </sheetData>
  <sheetProtection algorithmName="SHA-512" hashValue="wotHtZ+t7YA0BAQIvfDY6GPqXN7VX8cpKDP5YQEhtcN8NK6UN3pC+IwGNGNjuUXX6ic28h5T1UzaD4I5BsLyKA==" saltValue="z6a6Bcthc/6jjhmXitk1ZA==" spinCount="100000" sheet="1" objects="1" scenarios="1" selectLockedCells="1"/>
  <mergeCells count="2">
    <mergeCell ref="A2:H2"/>
    <mergeCell ref="A31:H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Guía de Uso</vt:lpstr>
      <vt:lpstr>Dashboard</vt:lpstr>
      <vt:lpstr>Postura</vt:lpstr>
      <vt:lpstr>Cría y Venta</vt:lpstr>
      <vt:lpstr>Ciclo Completo</vt:lpstr>
      <vt:lpstr>Datos Técnicos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Andrew MacKinnon</cp:lastModifiedBy>
  <cp:revision>0</cp:revision>
  <dcterms:created xsi:type="dcterms:W3CDTF">2026-07-29T23:17:15Z</dcterms:created>
  <dcterms:modified xsi:type="dcterms:W3CDTF">2026-09-06T19:29:07Z</dcterms:modified>
  <dc:language>en-US</dc:language>
</cp:coreProperties>
</file>